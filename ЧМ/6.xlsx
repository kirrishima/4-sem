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orce\Documents\University\4-sem\ЧМ\"/>
    </mc:Choice>
  </mc:AlternateContent>
  <xr:revisionPtr revIDLastSave="0" documentId="13_ncr:1_{B45347A5-17E2-482E-A2A5-7E78AD9AE929}" xr6:coauthVersionLast="47" xr6:coauthVersionMax="47" xr10:uidLastSave="{00000000-0000-0000-0000-000000000000}"/>
  <bookViews>
    <workbookView xWindow="-120" yWindow="-120" windowWidth="29040" windowHeight="15840" activeTab="1" xr2:uid="{3F5DECAB-B27A-4BAA-9E03-D0CC71DA6EB2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5" i="2" l="1"/>
  <c r="C16" i="2"/>
  <c r="C17" i="2"/>
  <c r="C18" i="2"/>
  <c r="C19" i="2"/>
  <c r="C20" i="2"/>
  <c r="C21" i="2"/>
  <c r="C22" i="2"/>
  <c r="C23" i="2"/>
  <c r="C24" i="2"/>
  <c r="C25" i="2"/>
  <c r="C26" i="2"/>
  <c r="C15" i="2"/>
  <c r="D14" i="2"/>
  <c r="C10" i="2"/>
  <c r="D10" i="2" s="1"/>
  <c r="E10" i="2"/>
  <c r="D21" i="2" l="1"/>
  <c r="E21" i="2"/>
  <c r="B3" i="2"/>
  <c r="C3" i="2" s="1"/>
  <c r="E3" i="2" s="1"/>
  <c r="E22" i="2" l="1"/>
  <c r="D22" i="2"/>
  <c r="F22" i="2" s="1"/>
  <c r="B14" i="2"/>
  <c r="C14" i="2" s="1"/>
  <c r="E14" i="2"/>
  <c r="G22" i="2" l="1"/>
  <c r="I22" i="2"/>
  <c r="H21" i="2"/>
  <c r="E23" i="2"/>
  <c r="D23" i="2"/>
  <c r="E15" i="2"/>
  <c r="D15" i="2"/>
  <c r="J22" i="2" l="1"/>
  <c r="K22" i="2" s="1"/>
  <c r="H22" i="2"/>
  <c r="E24" i="2"/>
  <c r="D24" i="2"/>
  <c r="F23" i="2"/>
  <c r="E16" i="2"/>
  <c r="D16" i="2"/>
  <c r="J15" i="2" s="1"/>
  <c r="F15" i="2"/>
  <c r="G23" i="2" l="1"/>
  <c r="I23" i="2"/>
  <c r="F16" i="2"/>
  <c r="I16" i="2" s="1"/>
  <c r="D25" i="2"/>
  <c r="E25" i="2"/>
  <c r="F24" i="2"/>
  <c r="J23" i="2"/>
  <c r="K23" i="2" s="1"/>
  <c r="H23" i="2"/>
  <c r="E17" i="2"/>
  <c r="D17" i="2"/>
  <c r="I15" i="2"/>
  <c r="G15" i="2"/>
  <c r="H15" i="2"/>
  <c r="K15" i="2"/>
  <c r="G16" i="2"/>
  <c r="J24" i="2" l="1"/>
  <c r="K24" i="2" s="1"/>
  <c r="F25" i="2"/>
  <c r="H24" i="2"/>
  <c r="I24" i="2"/>
  <c r="G24" i="2"/>
  <c r="D26" i="2"/>
  <c r="F26" i="2" s="1"/>
  <c r="E26" i="2"/>
  <c r="J26" i="2"/>
  <c r="F17" i="2"/>
  <c r="G17" i="2" s="1"/>
  <c r="J16" i="2"/>
  <c r="K16" i="2" s="1"/>
  <c r="D18" i="2"/>
  <c r="F18" i="2" s="1"/>
  <c r="E18" i="2"/>
  <c r="H16" i="2"/>
  <c r="H26" i="2" l="1"/>
  <c r="I26" i="2"/>
  <c r="G26" i="2"/>
  <c r="I17" i="2"/>
  <c r="K26" i="2"/>
  <c r="H25" i="2"/>
  <c r="J25" i="2"/>
  <c r="K25" i="2" s="1"/>
  <c r="G25" i="2"/>
  <c r="I25" i="2"/>
  <c r="I18" i="2"/>
  <c r="G18" i="2"/>
  <c r="E19" i="2"/>
  <c r="D19" i="2"/>
  <c r="H17" i="2"/>
  <c r="J17" i="2"/>
  <c r="K17" i="2" s="1"/>
  <c r="H18" i="2" l="1"/>
  <c r="J18" i="2"/>
  <c r="K18" i="2" s="1"/>
  <c r="D20" i="2"/>
  <c r="E20" i="2"/>
  <c r="F19" i="2"/>
  <c r="F21" i="2" l="1"/>
  <c r="J21" i="2"/>
  <c r="K21" i="2" s="1"/>
  <c r="F20" i="2"/>
  <c r="G20" i="2" s="1"/>
  <c r="H19" i="2"/>
  <c r="J19" i="2"/>
  <c r="I19" i="2"/>
  <c r="G19" i="2"/>
  <c r="I21" i="2" l="1"/>
  <c r="G21" i="2"/>
  <c r="I20" i="2"/>
  <c r="H20" i="2"/>
  <c r="J20" i="2"/>
  <c r="K20" i="2" s="1"/>
  <c r="B2" i="1" l="1"/>
  <c r="C4" i="1"/>
  <c r="F20" i="1"/>
  <c r="F19" i="1"/>
  <c r="Y4" i="1"/>
  <c r="X2" i="1"/>
  <c r="S4" i="1"/>
  <c r="D3" i="2" l="1"/>
  <c r="X5" i="1"/>
  <c r="X6" i="1" l="1"/>
  <c r="Y6" i="1" s="1"/>
  <c r="Y5" i="1"/>
  <c r="X7" i="1"/>
  <c r="Y7" i="1" s="1"/>
  <c r="C4" i="2"/>
  <c r="E4" i="2" l="1"/>
  <c r="D4" i="2"/>
  <c r="C5" i="2"/>
  <c r="E5" i="2" s="1"/>
  <c r="AB5" i="1"/>
  <c r="AB4" i="1"/>
  <c r="X8" i="1"/>
  <c r="Y8" i="1" s="1"/>
  <c r="R2" i="1"/>
  <c r="G20" i="1"/>
  <c r="F4" i="2" l="1"/>
  <c r="D5" i="2"/>
  <c r="R5" i="1"/>
  <c r="S5" i="1" s="1"/>
  <c r="C6" i="2"/>
  <c r="E6" i="2" s="1"/>
  <c r="R6" i="1"/>
  <c r="S6" i="1" s="1"/>
  <c r="X9" i="1"/>
  <c r="Y9" i="1" s="1"/>
  <c r="AB6" i="1"/>
  <c r="AB7" i="1"/>
  <c r="B5" i="1"/>
  <c r="C5" i="1" s="1"/>
  <c r="I4" i="2" l="1"/>
  <c r="G4" i="2"/>
  <c r="F5" i="2"/>
  <c r="J4" i="2"/>
  <c r="K4" i="2" s="1"/>
  <c r="H4" i="2"/>
  <c r="D6" i="2"/>
  <c r="F6" i="2" s="1"/>
  <c r="C7" i="2"/>
  <c r="E7" i="2" s="1"/>
  <c r="R7" i="1"/>
  <c r="S7" i="1" s="1"/>
  <c r="X10" i="1"/>
  <c r="Y10" i="1" s="1"/>
  <c r="B6" i="1"/>
  <c r="C6" i="1" s="1"/>
  <c r="I6" i="2" l="1"/>
  <c r="G6" i="2"/>
  <c r="I5" i="2"/>
  <c r="G5" i="2"/>
  <c r="M6" i="2"/>
  <c r="N5" i="2" s="1"/>
  <c r="F7" i="2"/>
  <c r="D7" i="2"/>
  <c r="J5" i="2"/>
  <c r="K5" i="2" s="1"/>
  <c r="H5" i="2"/>
  <c r="C8" i="2"/>
  <c r="E8" i="2" s="1"/>
  <c r="R8" i="1"/>
  <c r="S8" i="1" s="1"/>
  <c r="X11" i="1"/>
  <c r="Y11" i="1" s="1"/>
  <c r="AB8" i="1"/>
  <c r="B7" i="1"/>
  <c r="C7" i="1" s="1"/>
  <c r="G7" i="2" l="1"/>
  <c r="I7" i="2"/>
  <c r="M7" i="2"/>
  <c r="N6" i="2" s="1"/>
  <c r="O5" i="2" s="1"/>
  <c r="D8" i="2"/>
  <c r="F8" i="2" s="1"/>
  <c r="H6" i="2"/>
  <c r="J6" i="2"/>
  <c r="K6" i="2" s="1"/>
  <c r="C9" i="2"/>
  <c r="E9" i="2" s="1"/>
  <c r="X12" i="1"/>
  <c r="Y12" i="1" s="1"/>
  <c r="R9" i="1"/>
  <c r="S9" i="1" s="1"/>
  <c r="AB9" i="1"/>
  <c r="B8" i="1"/>
  <c r="C8" i="1" s="1"/>
  <c r="I8" i="2" l="1"/>
  <c r="G8" i="2"/>
  <c r="M8" i="2"/>
  <c r="N7" i="2" s="1"/>
  <c r="O6" i="2" s="1"/>
  <c r="P5" i="2" s="1"/>
  <c r="Q5" i="2" s="1"/>
  <c r="D9" i="2"/>
  <c r="M9" i="2" s="1"/>
  <c r="N8" i="2" s="1"/>
  <c r="O7" i="2" s="1"/>
  <c r="P6" i="2" s="1"/>
  <c r="H7" i="2"/>
  <c r="J7" i="2"/>
  <c r="K7" i="2" s="1"/>
  <c r="R10" i="1"/>
  <c r="S10" i="1" s="1"/>
  <c r="X13" i="1"/>
  <c r="Y13" i="1" s="1"/>
  <c r="AB11" i="1"/>
  <c r="AB10" i="1"/>
  <c r="B9" i="1"/>
  <c r="C9" i="1" s="1"/>
  <c r="F9" i="2" l="1"/>
  <c r="J9" i="2"/>
  <c r="K9" i="2" s="1"/>
  <c r="H8" i="2"/>
  <c r="J8" i="2"/>
  <c r="K8" i="2" s="1"/>
  <c r="X14" i="1"/>
  <c r="R11" i="1"/>
  <c r="S11" i="1" s="1"/>
  <c r="AB12" i="1"/>
  <c r="B10" i="1"/>
  <c r="C10" i="1" s="1"/>
  <c r="H9" i="2" l="1"/>
  <c r="I9" i="2"/>
  <c r="G9" i="2"/>
  <c r="AA4" i="1"/>
  <c r="AA5" i="1" s="1"/>
  <c r="Y14" i="1"/>
  <c r="R12" i="1"/>
  <c r="S12" i="1" s="1"/>
  <c r="AB13" i="1"/>
  <c r="AC4" i="1" s="1"/>
  <c r="AC5" i="1" s="1"/>
  <c r="Z4" i="1"/>
  <c r="Z5" i="1" s="1"/>
  <c r="R13" i="1" l="1"/>
  <c r="S13" i="1" s="1"/>
  <c r="R14" i="1" l="1"/>
  <c r="S14" i="1" s="1"/>
  <c r="R15" i="1" l="1"/>
  <c r="S15" i="1" s="1"/>
  <c r="R16" i="1" l="1"/>
  <c r="S16" i="1" s="1"/>
  <c r="R17" i="1" l="1"/>
  <c r="S17" i="1" s="1"/>
  <c r="R18" i="1" l="1"/>
  <c r="S18" i="1" s="1"/>
  <c r="R19" i="1" l="1"/>
  <c r="S19" i="1" s="1"/>
  <c r="R20" i="1" l="1"/>
  <c r="S20" i="1" s="1"/>
  <c r="T7" i="1" s="1"/>
  <c r="U7" i="1" s="1"/>
  <c r="U4" i="1" l="1" a="1"/>
  <c r="U4" i="1" s="1"/>
  <c r="V4" i="1" s="1"/>
  <c r="T4" i="1" a="1"/>
  <c r="T4" i="1" s="1"/>
  <c r="P3" i="1" l="1"/>
  <c r="W4" i="1"/>
  <c r="H4" i="1" l="1"/>
  <c r="H5" i="1" s="1"/>
  <c r="H6" i="1" s="1"/>
  <c r="D4" i="1" a="1"/>
  <c r="D4" i="1" s="1"/>
  <c r="E4" i="1" a="1"/>
  <c r="E4" i="1" s="1"/>
  <c r="I4" i="1" l="1"/>
  <c r="I5" i="1" s="1"/>
  <c r="I6" i="1" s="1"/>
  <c r="D7" i="1"/>
  <c r="E7" i="1" s="1"/>
  <c r="F4" i="1"/>
  <c r="F6" i="1" s="1"/>
</calcChain>
</file>

<file path=xl/sharedStrings.xml><?xml version="1.0" encoding="utf-8"?>
<sst xmlns="http://schemas.openxmlformats.org/spreadsheetml/2006/main" count="69" uniqueCount="38">
  <si>
    <t>x</t>
  </si>
  <si>
    <t>y</t>
  </si>
  <si>
    <t>левые</t>
  </si>
  <si>
    <t>правые</t>
  </si>
  <si>
    <t>сумма</t>
  </si>
  <si>
    <t>результат</t>
  </si>
  <si>
    <t>погрешность</t>
  </si>
  <si>
    <t>F(X)</t>
  </si>
  <si>
    <t>X</t>
  </si>
  <si>
    <t>интеграл</t>
  </si>
  <si>
    <t>сумма чет</t>
  </si>
  <si>
    <t>сумма нечёт</t>
  </si>
  <si>
    <t>правая</t>
  </si>
  <si>
    <t>произв</t>
  </si>
  <si>
    <t>avg</t>
  </si>
  <si>
    <t>средние</t>
  </si>
  <si>
    <t>трапеции</t>
  </si>
  <si>
    <t>погр</t>
  </si>
  <si>
    <t>центральная</t>
  </si>
  <si>
    <t>f(x)</t>
  </si>
  <si>
    <t>левая</t>
  </si>
  <si>
    <t>i=0</t>
  </si>
  <si>
    <t>i=1</t>
  </si>
  <si>
    <t>i=2</t>
  </si>
  <si>
    <t>i=3</t>
  </si>
  <si>
    <t>i=4</t>
  </si>
  <si>
    <t>i=5</t>
  </si>
  <si>
    <t>Δy</t>
  </si>
  <si>
    <t>Δ^2y</t>
  </si>
  <si>
    <t>Δ^3y</t>
  </si>
  <si>
    <t>Δ^4y</t>
  </si>
  <si>
    <t>Δ^5y</t>
  </si>
  <si>
    <t>i=6</t>
  </si>
  <si>
    <t>i=7</t>
  </si>
  <si>
    <t>i=8</t>
  </si>
  <si>
    <t>i=9</t>
  </si>
  <si>
    <t>i=10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</si>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</sst>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6" fontId="0" fillId="0" borderId="0" xfId="0" applyNumberFormat="1"/>
    <xf numFmtId="164" fontId="0" fillId="0" borderId="0" xfId="0" applyNumberFormat="1"/>
    <xf numFmtId="0" fontId="0" fillId="2" borderId="1" xfId="0" applyFill="1" applyBorder="1"/>
    <xf numFmtId="0" fontId="0" fillId="0" borderId="0" xfId="0" applyAlignment="1">
      <alignment horizontal="center"/>
    </xf>
    <xf numFmtId="0" fontId="0" fillId="3" borderId="1" xfId="0" applyFill="1" applyBorder="1"/>
    <xf numFmtId="165" fontId="0" fillId="2" borderId="1" xfId="0" applyNumberFormat="1" applyFill="1" applyBorder="1"/>
    <xf numFmtId="165" fontId="0" fillId="4" borderId="1" xfId="0" applyNumberFormat="1" applyFill="1" applyBorder="1"/>
    <xf numFmtId="0" fontId="0" fillId="4" borderId="1" xfId="0" applyFill="1" applyBorder="1"/>
    <xf numFmtId="165" fontId="0" fillId="2" borderId="2" xfId="0" applyNumberForma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Лист1!$B$4:$B$13</c:f>
              <c:numCache>
                <c:formatCode>General</c:formatCode>
                <c:ptCount val="10"/>
                <c:pt idx="0">
                  <c:v>1</c:v>
                </c:pt>
                <c:pt idx="1">
                  <c:v>1.1538461538461537</c:v>
                </c:pt>
                <c:pt idx="2">
                  <c:v>1.3076923076923075</c:v>
                </c:pt>
                <c:pt idx="3">
                  <c:v>1.4615384615384612</c:v>
                </c:pt>
                <c:pt idx="4">
                  <c:v>1.615384615384615</c:v>
                </c:pt>
                <c:pt idx="5">
                  <c:v>1.7692307692307687</c:v>
                </c:pt>
                <c:pt idx="6">
                  <c:v>1.9230769230769225</c:v>
                </c:pt>
              </c:numCache>
            </c:numRef>
          </c:xVal>
          <c:yVal>
            <c:numRef>
              <c:f>Лист1!$C$4:$C$13</c:f>
              <c:numCache>
                <c:formatCode>General</c:formatCode>
                <c:ptCount val="10"/>
                <c:pt idx="0">
                  <c:v>0</c:v>
                </c:pt>
                <c:pt idx="1">
                  <c:v>0.15371496392801592</c:v>
                </c:pt>
                <c:pt idx="2">
                  <c:v>0.30677160516509466</c:v>
                </c:pt>
                <c:pt idx="3">
                  <c:v>0.45878058159671697</c:v>
                </c:pt>
                <c:pt idx="4">
                  <c:v>0.60952674741268542</c:v>
                </c:pt>
                <c:pt idx="5">
                  <c:v>0.75889560531928679</c:v>
                </c:pt>
                <c:pt idx="6">
                  <c:v>0.90683284946836795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30-4998-ACA8-B89017189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1483567"/>
        <c:axId val="1181498191"/>
      </c:scatterChart>
      <c:valAx>
        <c:axId val="981483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81498191"/>
        <c:crosses val="autoZero"/>
        <c:crossBetween val="midCat"/>
      </c:valAx>
      <c:valAx>
        <c:axId val="1181498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814835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93306</xdr:colOff>
      <xdr:row>7</xdr:row>
      <xdr:rowOff>43543</xdr:rowOff>
    </xdr:from>
    <xdr:to>
      <xdr:col>15</xdr:col>
      <xdr:colOff>419877</xdr:colOff>
      <xdr:row>21</xdr:row>
      <xdr:rowOff>174172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89C0CEC-A3D9-4E6D-8686-B1F51D79D3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F40DD-A2B1-4153-823D-D342F367E6EC}">
  <dimension ref="A2:AC20"/>
  <sheetViews>
    <sheetView zoomScaleNormal="100" workbookViewId="0">
      <selection activeCell="F6" sqref="F6"/>
    </sheetView>
  </sheetViews>
  <sheetFormatPr defaultRowHeight="15" x14ac:dyDescent="0.25"/>
  <cols>
    <col min="3" max="3" width="11.28515625" customWidth="1"/>
    <col min="4" max="4" width="13.28515625" customWidth="1"/>
    <col min="5" max="5" width="10.5703125" customWidth="1"/>
    <col min="7" max="7" width="16.7109375" customWidth="1"/>
    <col min="16" max="16" width="13.140625" bestFit="1" customWidth="1"/>
    <col min="23" max="23" width="13" bestFit="1" customWidth="1"/>
  </cols>
  <sheetData>
    <row r="2" spans="1:29" x14ac:dyDescent="0.25">
      <c r="B2" s="2">
        <f>1/13*2</f>
        <v>0.15384615384615385</v>
      </c>
      <c r="P2" t="s">
        <v>6</v>
      </c>
      <c r="R2">
        <f>1.8/16</f>
        <v>0.1125</v>
      </c>
      <c r="X2">
        <f>1/10</f>
        <v>0.1</v>
      </c>
    </row>
    <row r="3" spans="1:29" x14ac:dyDescent="0.25">
      <c r="B3" t="s">
        <v>0</v>
      </c>
      <c r="C3" t="s">
        <v>1</v>
      </c>
      <c r="D3" t="s">
        <v>11</v>
      </c>
      <c r="E3" t="s">
        <v>10</v>
      </c>
      <c r="F3" t="s">
        <v>5</v>
      </c>
      <c r="H3" t="s">
        <v>2</v>
      </c>
      <c r="I3" t="s">
        <v>3</v>
      </c>
      <c r="P3" t="e">
        <f>V4-G20</f>
        <v>#NUM!</v>
      </c>
      <c r="R3" t="s">
        <v>0</v>
      </c>
      <c r="S3" t="s">
        <v>1</v>
      </c>
      <c r="T3" t="s">
        <v>11</v>
      </c>
      <c r="U3" t="s">
        <v>10</v>
      </c>
      <c r="V3" t="s">
        <v>5</v>
      </c>
      <c r="W3" t="s">
        <v>17</v>
      </c>
      <c r="X3" t="s">
        <v>0</v>
      </c>
      <c r="Y3" t="s">
        <v>1</v>
      </c>
      <c r="Z3" t="s">
        <v>2</v>
      </c>
      <c r="AA3" t="s">
        <v>3</v>
      </c>
      <c r="AB3" t="s">
        <v>14</v>
      </c>
      <c r="AC3" t="s">
        <v>15</v>
      </c>
    </row>
    <row r="4" spans="1:29" x14ac:dyDescent="0.25">
      <c r="A4">
        <v>0</v>
      </c>
      <c r="B4">
        <v>1</v>
      </c>
      <c r="C4">
        <f>SQRT(B4)*LOG(B4,EXP(1))</f>
        <v>0</v>
      </c>
      <c r="D4">
        <f t="array" ref="D4">SUM(IF(MOD(ROW(C5:C35),2)=1,C5:C35))</f>
        <v>1.3713911508440197</v>
      </c>
      <c r="E4">
        <f t="array" ref="E4">SUM(IF(MOD(ROW(C5:C35),2)=0,C5:C35))</f>
        <v>1.8231312020461481</v>
      </c>
      <c r="F4">
        <f>(B2/3)*(C4+C36+2*E4+4*D4)</f>
        <v>0.46829882089581421</v>
      </c>
      <c r="G4" t="s">
        <v>4</v>
      </c>
      <c r="H4">
        <f>SUM(C4:C35)</f>
        <v>3.1945223528901678</v>
      </c>
      <c r="I4">
        <f>SUM(C5:C36)</f>
        <v>3.1945223528901678</v>
      </c>
      <c r="Q4">
        <v>0</v>
      </c>
      <c r="R4">
        <v>0</v>
      </c>
      <c r="S4" t="e">
        <f>SQRT(R4)*LOG(R4,EXP(1))</f>
        <v>#NUM!</v>
      </c>
      <c r="T4">
        <f t="array" ref="T4">SUM(IF(MOD(ROW(S5:S19),2)=1,S5:S19))</f>
        <v>-0.61834550558304713</v>
      </c>
      <c r="U4">
        <f t="array" ref="U4">SUM(IF(MOD(ROW(S5:S19),2)=0,S5:S19))</f>
        <v>-0.62237683597581739</v>
      </c>
      <c r="V4" t="e">
        <f>(R2/3)*(S4+S20+2*U4+4*T4)</f>
        <v>#NUM!</v>
      </c>
      <c r="W4" t="e">
        <f>V4-G20</f>
        <v>#NUM!</v>
      </c>
      <c r="X4">
        <v>1</v>
      </c>
      <c r="Y4">
        <f t="shared" ref="Y4:Y14" si="0">SQRT(X4)*LOG(X4,EXP(1))</f>
        <v>0</v>
      </c>
      <c r="Z4">
        <f>SUM(Y4:Y13)*X2</f>
        <v>0.44532378106026904</v>
      </c>
      <c r="AA4">
        <f>SUM(Y5:Y14)*X2</f>
        <v>0.54334959540712391</v>
      </c>
      <c r="AB4">
        <f>(Y4+Y5)/2</f>
        <v>4.9981079949732041E-2</v>
      </c>
      <c r="AC4">
        <f>SUM(AB4:AB13)*X2</f>
        <v>0.49433668823369648</v>
      </c>
    </row>
    <row r="5" spans="1:29" x14ac:dyDescent="0.25">
      <c r="A5">
        <v>1</v>
      </c>
      <c r="B5">
        <f>B4+$B$2</f>
        <v>1.1538461538461537</v>
      </c>
      <c r="C5">
        <f>SQRT(B5)*LOG(B5,EXP(1))</f>
        <v>0.15371496392801592</v>
      </c>
      <c r="G5" t="s">
        <v>5</v>
      </c>
      <c r="H5">
        <f>H4*$B$2</f>
        <v>0.49146497736771816</v>
      </c>
      <c r="I5">
        <f t="shared" ref="I5" si="1">I4*$B$2</f>
        <v>0.49146497736771816</v>
      </c>
      <c r="Q5">
        <v>1</v>
      </c>
      <c r="R5">
        <f>R4+$R$2</f>
        <v>0.1125</v>
      </c>
      <c r="S5">
        <f t="shared" ref="S5:S20" si="2">SQRT(R5)*LOG(R5,EXP(1))</f>
        <v>-0.7328048876382609</v>
      </c>
      <c r="X5">
        <f>X4+$X$2</f>
        <v>1.1000000000000001</v>
      </c>
      <c r="Y5">
        <f t="shared" si="0"/>
        <v>9.9962159899464081E-2</v>
      </c>
      <c r="Z5">
        <f>Z4-G20</f>
        <v>-4.9052799232820465E-2</v>
      </c>
      <c r="AA5">
        <f>AA4-G20</f>
        <v>4.8973015114034402E-2</v>
      </c>
      <c r="AB5">
        <f t="shared" ref="AB5:AB13" si="3">(Y5+Y6)/2</f>
        <v>0.14984270932524035</v>
      </c>
      <c r="AC5">
        <f>AC4-G20</f>
        <v>-3.9892059393031865E-5</v>
      </c>
    </row>
    <row r="6" spans="1:29" x14ac:dyDescent="0.25">
      <c r="A6">
        <v>2</v>
      </c>
      <c r="B6">
        <f t="shared" ref="B6:B10" si="4">B5+$B$2</f>
        <v>1.3076923076923075</v>
      </c>
      <c r="C6">
        <f t="shared" ref="C6:C10" si="5">SQRT(B6)*LOG(B6,EXP(1))</f>
        <v>0.30677160516509466</v>
      </c>
      <c r="D6" t="s">
        <v>16</v>
      </c>
      <c r="E6" t="s">
        <v>6</v>
      </c>
      <c r="F6">
        <f>F4-G20</f>
        <v>-2.6077759397275302E-2</v>
      </c>
      <c r="G6" t="s">
        <v>6</v>
      </c>
      <c r="H6">
        <f>H5-G20</f>
        <v>-2.9116029253713482E-3</v>
      </c>
      <c r="I6">
        <f>I5-G20</f>
        <v>-2.9116029253713482E-3</v>
      </c>
      <c r="Q6">
        <v>2</v>
      </c>
      <c r="R6">
        <f t="shared" ref="R6:R20" si="6">R5+$R$2</f>
        <v>0.22500000000000001</v>
      </c>
      <c r="S6">
        <f t="shared" si="2"/>
        <v>-0.70755403402730865</v>
      </c>
      <c r="T6" t="s">
        <v>16</v>
      </c>
      <c r="U6" t="s">
        <v>17</v>
      </c>
      <c r="X6">
        <f t="shared" ref="X6:X13" si="7">X5+$X$2</f>
        <v>1.2000000000000002</v>
      </c>
      <c r="Y6">
        <f t="shared" si="0"/>
        <v>0.19972325875101665</v>
      </c>
      <c r="AB6">
        <f t="shared" si="3"/>
        <v>0.24943227276053059</v>
      </c>
    </row>
    <row r="7" spans="1:29" x14ac:dyDescent="0.25">
      <c r="A7">
        <v>3</v>
      </c>
      <c r="B7">
        <f t="shared" si="4"/>
        <v>1.4615384615384612</v>
      </c>
      <c r="C7">
        <f t="shared" si="5"/>
        <v>0.45878058159671697</v>
      </c>
      <c r="D7">
        <f>B2*((C4+C36)/2+SUM(C5:C35))</f>
        <v>0.49146497736771816</v>
      </c>
      <c r="E7">
        <f>D7-G20</f>
        <v>-2.9116029253713482E-3</v>
      </c>
      <c r="Q7">
        <v>3</v>
      </c>
      <c r="R7">
        <f t="shared" si="6"/>
        <v>0.33750000000000002</v>
      </c>
      <c r="S7">
        <f t="shared" si="2"/>
        <v>-0.63101923273170957</v>
      </c>
      <c r="T7" t="e">
        <f>R2*((S4+S20)/2+SUM(S5:S19))</f>
        <v>#NUM!</v>
      </c>
      <c r="U7" t="e">
        <f>T7-G20</f>
        <v>#NUM!</v>
      </c>
      <c r="X7">
        <f t="shared" si="7"/>
        <v>1.3000000000000003</v>
      </c>
      <c r="Y7">
        <f t="shared" si="0"/>
        <v>0.29914128677004453</v>
      </c>
      <c r="AB7">
        <f t="shared" si="3"/>
        <v>0.34863030304992926</v>
      </c>
    </row>
    <row r="8" spans="1:29" x14ac:dyDescent="0.25">
      <c r="A8">
        <v>4</v>
      </c>
      <c r="B8">
        <f t="shared" si="4"/>
        <v>1.615384615384615</v>
      </c>
      <c r="C8">
        <f t="shared" si="5"/>
        <v>0.60952674741268542</v>
      </c>
      <c r="Q8">
        <v>4</v>
      </c>
      <c r="R8">
        <f t="shared" si="6"/>
        <v>0.45</v>
      </c>
      <c r="S8">
        <f t="shared" si="2"/>
        <v>-0.53565524678990672</v>
      </c>
      <c r="X8">
        <f t="shared" si="7"/>
        <v>1.4000000000000004</v>
      </c>
      <c r="Y8">
        <f t="shared" si="0"/>
        <v>0.39811931932981398</v>
      </c>
      <c r="AB8">
        <f t="shared" si="3"/>
        <v>0.44735531550676244</v>
      </c>
    </row>
    <row r="9" spans="1:29" x14ac:dyDescent="0.25">
      <c r="A9">
        <v>5</v>
      </c>
      <c r="B9">
        <f t="shared" si="4"/>
        <v>1.7692307692307687</v>
      </c>
      <c r="C9">
        <f t="shared" si="5"/>
        <v>0.75889560531928679</v>
      </c>
      <c r="Q9">
        <v>5</v>
      </c>
      <c r="R9">
        <f t="shared" si="6"/>
        <v>0.5625</v>
      </c>
      <c r="S9">
        <f t="shared" si="2"/>
        <v>-0.43152310867767135</v>
      </c>
      <c r="X9">
        <f t="shared" si="7"/>
        <v>1.5000000000000004</v>
      </c>
      <c r="Y9">
        <f t="shared" si="0"/>
        <v>0.4965913116837109</v>
      </c>
      <c r="AB9">
        <f t="shared" si="3"/>
        <v>0.5455520512342259</v>
      </c>
    </row>
    <row r="10" spans="1:29" x14ac:dyDescent="0.25">
      <c r="A10">
        <v>6</v>
      </c>
      <c r="B10">
        <f t="shared" si="4"/>
        <v>1.9230769230769225</v>
      </c>
      <c r="C10">
        <f t="shared" si="5"/>
        <v>0.90683284946836795</v>
      </c>
      <c r="Q10">
        <v>6</v>
      </c>
      <c r="R10">
        <f t="shared" si="6"/>
        <v>0.67500000000000004</v>
      </c>
      <c r="S10">
        <f t="shared" si="2"/>
        <v>-0.32291743735176548</v>
      </c>
      <c r="X10">
        <f t="shared" si="7"/>
        <v>1.6000000000000005</v>
      </c>
      <c r="Y10">
        <f t="shared" si="0"/>
        <v>0.59451279078474095</v>
      </c>
      <c r="AB10">
        <f t="shared" si="3"/>
        <v>0.64318369245166829</v>
      </c>
    </row>
    <row r="11" spans="1:29" x14ac:dyDescent="0.25">
      <c r="Q11">
        <v>7</v>
      </c>
      <c r="R11">
        <f t="shared" si="6"/>
        <v>0.78750000000000009</v>
      </c>
      <c r="S11">
        <f t="shared" si="2"/>
        <v>-0.21199553834029375</v>
      </c>
      <c r="X11">
        <f t="shared" si="7"/>
        <v>1.7000000000000006</v>
      </c>
      <c r="Y11">
        <f t="shared" si="0"/>
        <v>0.69185459411859573</v>
      </c>
      <c r="AB11">
        <f t="shared" si="3"/>
        <v>0.7402265787560065</v>
      </c>
    </row>
    <row r="12" spans="1:29" x14ac:dyDescent="0.25">
      <c r="Q12">
        <v>8</v>
      </c>
      <c r="R12">
        <f t="shared" si="6"/>
        <v>0.90000000000000013</v>
      </c>
      <c r="S12">
        <f t="shared" si="2"/>
        <v>-9.9953761478569325E-2</v>
      </c>
      <c r="X12">
        <f t="shared" si="7"/>
        <v>1.8000000000000007</v>
      </c>
      <c r="Y12">
        <f t="shared" si="0"/>
        <v>0.78859856339341738</v>
      </c>
      <c r="AB12">
        <f t="shared" si="3"/>
        <v>0.836666544632652</v>
      </c>
    </row>
    <row r="13" spans="1:29" x14ac:dyDescent="0.25">
      <c r="Q13">
        <v>9</v>
      </c>
      <c r="R13">
        <f t="shared" si="6"/>
        <v>1.0125000000000002</v>
      </c>
      <c r="S13">
        <f t="shared" si="2"/>
        <v>1.2499919625881152E-2</v>
      </c>
      <c r="X13">
        <f t="shared" si="7"/>
        <v>1.9000000000000008</v>
      </c>
      <c r="Y13">
        <f t="shared" si="0"/>
        <v>0.88473452587188661</v>
      </c>
      <c r="AB13">
        <f t="shared" si="3"/>
        <v>0.93249633467021731</v>
      </c>
    </row>
    <row r="14" spans="1:29" x14ac:dyDescent="0.25">
      <c r="Q14">
        <v>10</v>
      </c>
      <c r="R14">
        <f t="shared" si="6"/>
        <v>1.1250000000000002</v>
      </c>
      <c r="S14">
        <f t="shared" si="2"/>
        <v>0.12492777483204871</v>
      </c>
      <c r="X14">
        <f>X13+$X$2</f>
        <v>2.0000000000000009</v>
      </c>
      <c r="Y14">
        <f t="shared" si="0"/>
        <v>0.980258143468548</v>
      </c>
    </row>
    <row r="15" spans="1:29" x14ac:dyDescent="0.25">
      <c r="Q15">
        <v>11</v>
      </c>
      <c r="R15">
        <f t="shared" si="6"/>
        <v>1.2375000000000003</v>
      </c>
      <c r="S15">
        <f t="shared" si="2"/>
        <v>0.23705123731650854</v>
      </c>
    </row>
    <row r="16" spans="1:29" x14ac:dyDescent="0.25">
      <c r="Q16">
        <v>12</v>
      </c>
      <c r="R16">
        <f t="shared" si="6"/>
        <v>1.3500000000000003</v>
      </c>
      <c r="S16">
        <f t="shared" si="2"/>
        <v>0.34869002660415732</v>
      </c>
    </row>
    <row r="17" spans="5:19" x14ac:dyDescent="0.25">
      <c r="Q17">
        <v>13</v>
      </c>
      <c r="R17">
        <f t="shared" si="6"/>
        <v>1.4625000000000004</v>
      </c>
      <c r="S17">
        <f t="shared" si="2"/>
        <v>0.4597268273877726</v>
      </c>
    </row>
    <row r="18" spans="5:19" x14ac:dyDescent="0.25">
      <c r="E18" t="s">
        <v>8</v>
      </c>
      <c r="F18" t="s">
        <v>7</v>
      </c>
      <c r="G18" t="s">
        <v>9</v>
      </c>
      <c r="Q18">
        <v>14</v>
      </c>
      <c r="R18">
        <f t="shared" si="6"/>
        <v>1.5750000000000004</v>
      </c>
      <c r="S18">
        <f t="shared" si="2"/>
        <v>0.57008584223552672</v>
      </c>
    </row>
    <row r="19" spans="5:19" x14ac:dyDescent="0.25">
      <c r="E19">
        <v>1</v>
      </c>
      <c r="F19">
        <f>(2*E19*SQRT(E19)*LOG(E19,EXP(1)))/3-(4*E19*SQRT(E19))/9</f>
        <v>-0.44444444444444442</v>
      </c>
      <c r="Q19">
        <v>15</v>
      </c>
      <c r="R19">
        <f t="shared" si="6"/>
        <v>1.6875000000000004</v>
      </c>
      <c r="S19">
        <f t="shared" si="2"/>
        <v>0.67971927747472627</v>
      </c>
    </row>
    <row r="20" spans="5:19" x14ac:dyDescent="0.25">
      <c r="E20">
        <v>2</v>
      </c>
      <c r="F20">
        <f>(2*E20*SQRT(E20)*LOG(E20,EXP(1)))/3-(4*E20*SQRT(E20))/9</f>
        <v>4.9932135848645087E-2</v>
      </c>
      <c r="G20">
        <f>F20-F19</f>
        <v>0.49437658029308951</v>
      </c>
      <c r="Q20">
        <v>16</v>
      </c>
      <c r="R20">
        <f t="shared" si="6"/>
        <v>1.8000000000000005</v>
      </c>
      <c r="S20">
        <f t="shared" si="2"/>
        <v>0.78859856339341727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213E7-778F-4F3B-81B6-F23F093BABDD}">
  <dimension ref="A2:Q26"/>
  <sheetViews>
    <sheetView tabSelected="1" zoomScale="110" workbookViewId="0">
      <selection activeCell="K19" sqref="K19"/>
    </sheetView>
  </sheetViews>
  <sheetFormatPr defaultRowHeight="15" x14ac:dyDescent="0.25"/>
  <cols>
    <col min="1" max="1" width="10.5703125" bestFit="1" customWidth="1"/>
    <col min="5" max="5" width="9.140625" customWidth="1"/>
    <col min="9" max="9" width="12.7109375" bestFit="1" customWidth="1"/>
    <col min="10" max="10" width="12.85546875" customWidth="1"/>
    <col min="21" max="21" width="12.7109375" customWidth="1"/>
  </cols>
  <sheetData>
    <row r="2" spans="1:17" x14ac:dyDescent="0.25">
      <c r="C2" s="1"/>
      <c r="D2" t="s">
        <v>19</v>
      </c>
      <c r="E2" t="s">
        <v>13</v>
      </c>
      <c r="F2" t="s">
        <v>20</v>
      </c>
      <c r="G2" t="s">
        <v>17</v>
      </c>
      <c r="H2" t="s">
        <v>12</v>
      </c>
      <c r="I2" t="s">
        <v>17</v>
      </c>
      <c r="J2" t="s">
        <v>18</v>
      </c>
      <c r="K2" t="s">
        <v>17</v>
      </c>
    </row>
    <row r="3" spans="1:17" x14ac:dyDescent="0.25">
      <c r="B3">
        <f>6/5</f>
        <v>1.2</v>
      </c>
      <c r="C3">
        <f>-1-B3</f>
        <v>-2.2000000000000002</v>
      </c>
      <c r="D3">
        <f>C3/(3*C3*C3+1)</f>
        <v>-0.14175257731958762</v>
      </c>
      <c r="E3">
        <f>-(3*C3*C3-1)/(9*POWER(C3,4)+6*C3*C3+1)</f>
        <v>-5.6129769369752364E-2</v>
      </c>
    </row>
    <row r="4" spans="1:17" x14ac:dyDescent="0.25">
      <c r="B4" s="4" t="s">
        <v>21</v>
      </c>
      <c r="C4" s="3">
        <f t="shared" ref="C4:C10" si="0">C3+$B$3</f>
        <v>-1.0000000000000002</v>
      </c>
      <c r="D4" s="6">
        <f t="shared" ref="D4:D10" si="1">C4/(3*C4*C4+1)</f>
        <v>-0.24999999999999994</v>
      </c>
      <c r="E4" s="6">
        <f t="shared" ref="E4:E10" si="2">-(3*C4*C4-1)/(9*POWER(C4,4)+6*C4*C4+1)</f>
        <v>-0.12500000000000003</v>
      </c>
      <c r="F4" s="6">
        <f>(D3-D4)/(C3-C4)</f>
        <v>-9.0206185567010266E-2</v>
      </c>
      <c r="G4" s="3">
        <f>ABS(F4-E4)</f>
        <v>3.4793814432989761E-2</v>
      </c>
      <c r="H4" s="6">
        <f>(D5-D4)/(C5-C4)</f>
        <v>0.35714285714285693</v>
      </c>
      <c r="I4" s="3">
        <f>ABS(F4-E4)</f>
        <v>3.4793814432989761E-2</v>
      </c>
      <c r="J4" s="6">
        <f>(D5-D3)/(C5-C3)</f>
        <v>0.13346833578792333</v>
      </c>
      <c r="K4" s="3">
        <f>ABS(J4-E4)</f>
        <v>0.25846833578792339</v>
      </c>
      <c r="M4" s="5" t="s">
        <v>27</v>
      </c>
      <c r="N4" s="5" t="s">
        <v>28</v>
      </c>
      <c r="O4" s="5" t="s">
        <v>29</v>
      </c>
      <c r="P4" s="5" t="s">
        <v>30</v>
      </c>
      <c r="Q4" s="5" t="s">
        <v>31</v>
      </c>
    </row>
    <row r="5" spans="1:17" x14ac:dyDescent="0.25">
      <c r="B5" s="4" t="s">
        <v>22</v>
      </c>
      <c r="C5" s="3">
        <f t="shared" si="0"/>
        <v>0.19999999999999973</v>
      </c>
      <c r="D5" s="6">
        <f t="shared" si="1"/>
        <v>0.17857142857142838</v>
      </c>
      <c r="E5" s="6">
        <f t="shared" si="2"/>
        <v>0.70153061224489865</v>
      </c>
      <c r="F5" s="6">
        <f t="shared" ref="F5:F9" si="3">(D4-D5)/(C4-C5)</f>
        <v>0.35714285714285693</v>
      </c>
      <c r="G5" s="3">
        <f t="shared" ref="G5:G9" si="4">ABS(F5-E5)</f>
        <v>0.34438775510204173</v>
      </c>
      <c r="H5" s="6">
        <f t="shared" ref="H5:H9" si="5">(D6-D5)/(C6-C5)</f>
        <v>2.0764119601329064E-2</v>
      </c>
      <c r="I5" s="3">
        <f t="shared" ref="I5:I9" si="6">ABS(F5-E5)</f>
        <v>0.34438775510204173</v>
      </c>
      <c r="J5" s="7">
        <f t="shared" ref="J5:J9" si="7">(D6-D4)/(C6-C4)</f>
        <v>0.188953488372093</v>
      </c>
      <c r="K5" s="8">
        <f t="shared" ref="K5:K9" si="8">ABS(J5-E5)</f>
        <v>0.51257712387280563</v>
      </c>
      <c r="M5" s="6">
        <f>D5-D4</f>
        <v>0.42857142857142833</v>
      </c>
      <c r="N5" s="6">
        <f>M6-M5</f>
        <v>-0.40365448504983348</v>
      </c>
      <c r="O5" s="6">
        <f>N6-N5</f>
        <v>0.2974296205630349</v>
      </c>
      <c r="P5" s="6">
        <f>O6-O5</f>
        <v>-0.14633721403668615</v>
      </c>
      <c r="Q5" s="6">
        <f>P6-P5</f>
        <v>-3.3132954121514846E-2</v>
      </c>
    </row>
    <row r="6" spans="1:17" x14ac:dyDescent="0.25">
      <c r="B6" s="4" t="s">
        <v>23</v>
      </c>
      <c r="C6" s="3">
        <f t="shared" si="0"/>
        <v>1.3999999999999997</v>
      </c>
      <c r="D6" s="6">
        <f t="shared" si="1"/>
        <v>0.20348837209302326</v>
      </c>
      <c r="E6" s="6">
        <f t="shared" si="2"/>
        <v>-0.10309626825310982</v>
      </c>
      <c r="F6" s="6">
        <f t="shared" si="3"/>
        <v>2.0764119601329064E-2</v>
      </c>
      <c r="G6" s="3">
        <f t="shared" si="4"/>
        <v>0.12386038785443888</v>
      </c>
      <c r="H6" s="6">
        <f t="shared" si="5"/>
        <v>-6.7756600804336403E-2</v>
      </c>
      <c r="I6" s="3">
        <f t="shared" si="6"/>
        <v>0.12386038785443888</v>
      </c>
      <c r="J6" s="7">
        <f t="shared" si="7"/>
        <v>-2.3496240601503671E-2</v>
      </c>
      <c r="K6" s="8">
        <f t="shared" si="8"/>
        <v>7.9600027651606148E-2</v>
      </c>
      <c r="M6" s="6">
        <f t="shared" ref="M6:M9" si="9">D6-D5</f>
        <v>2.4916943521594875E-2</v>
      </c>
      <c r="N6" s="6">
        <f t="shared" ref="N6:O8" si="10">M7-M6</f>
        <v>-0.10622486448679856</v>
      </c>
      <c r="O6" s="6">
        <f t="shared" si="10"/>
        <v>0.15109240652634875</v>
      </c>
      <c r="P6" s="6">
        <f>O7-O6</f>
        <v>-0.17947016815820099</v>
      </c>
    </row>
    <row r="7" spans="1:17" x14ac:dyDescent="0.25">
      <c r="B7" s="4" t="s">
        <v>24</v>
      </c>
      <c r="C7" s="3">
        <f t="shared" si="0"/>
        <v>2.5999999999999996</v>
      </c>
      <c r="D7" s="6">
        <f t="shared" si="1"/>
        <v>0.12218045112781957</v>
      </c>
      <c r="E7" s="6">
        <f t="shared" si="2"/>
        <v>-4.2575894623777498E-2</v>
      </c>
      <c r="F7" s="6">
        <f t="shared" si="3"/>
        <v>-6.7756600804336403E-2</v>
      </c>
      <c r="G7" s="3">
        <f t="shared" si="4"/>
        <v>2.5180706180558905E-2</v>
      </c>
      <c r="H7" s="6">
        <f t="shared" si="5"/>
        <v>-3.0366982438044574E-2</v>
      </c>
      <c r="I7" s="3">
        <f t="shared" si="6"/>
        <v>2.5180706180558905E-2</v>
      </c>
      <c r="J7" s="7">
        <f t="shared" si="7"/>
        <v>-4.9061791621190481E-2</v>
      </c>
      <c r="K7" s="8">
        <f t="shared" si="8"/>
        <v>6.4858969974129835E-3</v>
      </c>
      <c r="M7" s="6">
        <f t="shared" si="9"/>
        <v>-8.1307920965203687E-2</v>
      </c>
      <c r="N7" s="6">
        <f t="shared" si="10"/>
        <v>4.4867542039550193E-2</v>
      </c>
      <c r="O7" s="6">
        <f t="shared" si="10"/>
        <v>-2.8377761631852252E-2</v>
      </c>
    </row>
    <row r="8" spans="1:17" x14ac:dyDescent="0.25">
      <c r="B8" s="4" t="s">
        <v>25</v>
      </c>
      <c r="C8" s="3">
        <f t="shared" si="0"/>
        <v>3.8</v>
      </c>
      <c r="D8" s="6">
        <f t="shared" si="1"/>
        <v>8.5740072202166076E-2</v>
      </c>
      <c r="E8" s="6">
        <f t="shared" si="2"/>
        <v>-2.1544982992089037E-2</v>
      </c>
      <c r="F8" s="6">
        <f t="shared" si="3"/>
        <v>-3.0366982438044574E-2</v>
      </c>
      <c r="G8" s="3">
        <f t="shared" si="4"/>
        <v>8.8219994459555369E-3</v>
      </c>
      <c r="H8" s="6">
        <f t="shared" si="5"/>
        <v>-1.662549876496296E-2</v>
      </c>
      <c r="I8" s="3">
        <f t="shared" si="6"/>
        <v>8.8219994459555369E-3</v>
      </c>
      <c r="J8" s="7">
        <f t="shared" si="7"/>
        <v>-2.3496240601503765E-2</v>
      </c>
      <c r="K8" s="8">
        <f t="shared" si="8"/>
        <v>1.9512576094147284E-3</v>
      </c>
      <c r="M8" s="6">
        <f t="shared" si="9"/>
        <v>-3.6440378925653494E-2</v>
      </c>
      <c r="N8" s="6">
        <f t="shared" si="10"/>
        <v>1.648978040769794E-2</v>
      </c>
    </row>
    <row r="9" spans="1:17" x14ac:dyDescent="0.25">
      <c r="B9" s="4" t="s">
        <v>26</v>
      </c>
      <c r="C9" s="3">
        <f t="shared" si="0"/>
        <v>5</v>
      </c>
      <c r="D9" s="6">
        <f t="shared" si="1"/>
        <v>6.5789473684210523E-2</v>
      </c>
      <c r="E9" s="6">
        <f t="shared" si="2"/>
        <v>-1.2811634349030472E-2</v>
      </c>
      <c r="F9" s="9">
        <f t="shared" si="3"/>
        <v>-1.662549876496296E-2</v>
      </c>
      <c r="G9" s="3">
        <f t="shared" si="4"/>
        <v>3.8138644159324882E-3</v>
      </c>
      <c r="H9" s="6">
        <f t="shared" si="5"/>
        <v>-1.0406863099978278E-2</v>
      </c>
      <c r="I9" s="3">
        <f t="shared" si="6"/>
        <v>3.8138644159324882E-3</v>
      </c>
      <c r="J9" s="6">
        <f t="shared" si="7"/>
        <v>-1.3516180932470619E-2</v>
      </c>
      <c r="K9" s="3">
        <f t="shared" si="8"/>
        <v>7.0454658344014723E-4</v>
      </c>
      <c r="M9" s="6">
        <f t="shared" si="9"/>
        <v>-1.9950598517955553E-2</v>
      </c>
    </row>
    <row r="10" spans="1:17" x14ac:dyDescent="0.25">
      <c r="C10" s="3">
        <f t="shared" si="0"/>
        <v>6.2</v>
      </c>
      <c r="D10" s="3">
        <f t="shared" si="1"/>
        <v>5.3301237964236588E-2</v>
      </c>
      <c r="E10" s="3">
        <f t="shared" si="2"/>
        <v>-8.4491579459216037E-3</v>
      </c>
    </row>
    <row r="12" spans="1:17" x14ac:dyDescent="0.25">
      <c r="A12" s="2"/>
      <c r="B12" s="2"/>
    </row>
    <row r="13" spans="1:17" x14ac:dyDescent="0.25">
      <c r="C13" s="1"/>
      <c r="D13" t="s">
        <v>19</v>
      </c>
      <c r="E13" t="s">
        <v>13</v>
      </c>
      <c r="F13" t="s">
        <v>20</v>
      </c>
      <c r="G13" t="s">
        <v>17</v>
      </c>
      <c r="H13" t="s">
        <v>12</v>
      </c>
      <c r="I13" t="s">
        <v>17</v>
      </c>
      <c r="J13" t="s">
        <v>18</v>
      </c>
      <c r="K13" t="s">
        <v>17</v>
      </c>
    </row>
    <row r="14" spans="1:17" x14ac:dyDescent="0.25">
      <c r="B14">
        <f>B3/2</f>
        <v>0.6</v>
      </c>
      <c r="C14">
        <f>-1-B14</f>
        <v>-1.6</v>
      </c>
      <c r="D14">
        <f>C14/(3*C14*C14+1)</f>
        <v>-0.18433179723502302</v>
      </c>
      <c r="E14">
        <f>-(3*C14*C14-1)/(9*POWER(C14,4)+6*C14*C14+1)</f>
        <v>-8.8661895559472473E-2</v>
      </c>
    </row>
    <row r="15" spans="1:17" x14ac:dyDescent="0.25">
      <c r="B15" s="4" t="s">
        <v>21</v>
      </c>
      <c r="C15" s="3">
        <f>C14+$B$14</f>
        <v>-1</v>
      </c>
      <c r="D15" s="6">
        <f t="shared" ref="D15:D21" si="11">C15/(3*C15*C15+1)</f>
        <v>-0.25</v>
      </c>
      <c r="E15" s="6">
        <f t="shared" ref="E15:E21" si="12">-(3*C15*C15-1)/(9*POWER(C15,4)+6*C15*C15+1)</f>
        <v>-0.125</v>
      </c>
      <c r="F15" s="6">
        <f>(D14-D15)/(C14-C15)</f>
        <v>-0.10944700460829494</v>
      </c>
      <c r="G15" s="3">
        <f>ABS(F15-E15)</f>
        <v>1.5552995391705057E-2</v>
      </c>
      <c r="H15" s="6">
        <f t="shared" ref="H15:H20" si="13">(D16-D15)/(C16-C15)</f>
        <v>-3.3783783783783813E-2</v>
      </c>
      <c r="I15" s="3">
        <f>ABS(F15-E15)</f>
        <v>1.5552995391705057E-2</v>
      </c>
      <c r="J15" s="6">
        <f>(D16-D14)/(C16-C14)</f>
        <v>-7.1615394196039378E-2</v>
      </c>
      <c r="K15" s="3">
        <f>ABS(J15-E15)</f>
        <v>5.3384605803960622E-2</v>
      </c>
    </row>
    <row r="16" spans="1:17" x14ac:dyDescent="0.25">
      <c r="B16" s="4" t="s">
        <v>22</v>
      </c>
      <c r="C16" s="3">
        <f t="shared" ref="C16:C26" si="14">C15+$B$14</f>
        <v>-0.4</v>
      </c>
      <c r="D16" s="6">
        <f t="shared" si="11"/>
        <v>-0.27027027027027029</v>
      </c>
      <c r="E16" s="6">
        <f t="shared" si="12"/>
        <v>0.23739956172388596</v>
      </c>
      <c r="F16" s="6">
        <f t="shared" ref="F16:F20" si="15">(D15-D16)/(C15-C16)</f>
        <v>-3.3783783783783813E-2</v>
      </c>
      <c r="G16" s="3">
        <f t="shared" ref="G16:G20" si="16">ABS(F16-E16)</f>
        <v>0.27118334550766976</v>
      </c>
      <c r="H16" s="6">
        <f t="shared" si="13"/>
        <v>0.74806949806949807</v>
      </c>
      <c r="I16" s="3">
        <f t="shared" ref="I16:I20" si="17">ABS(F16-E16)</f>
        <v>0.27118334550766976</v>
      </c>
      <c r="J16" s="6">
        <f>(D17-D15)/(C17-C15)</f>
        <v>0.35714285714285715</v>
      </c>
      <c r="K16" s="3">
        <f t="shared" ref="K16:K20" si="18">ABS(J16-E16)</f>
        <v>0.11974329541897119</v>
      </c>
    </row>
    <row r="17" spans="2:12" x14ac:dyDescent="0.25">
      <c r="B17" s="4" t="s">
        <v>23</v>
      </c>
      <c r="C17" s="3">
        <f t="shared" si="14"/>
        <v>0.19999999999999996</v>
      </c>
      <c r="D17" s="6">
        <f t="shared" si="11"/>
        <v>0.17857142857142855</v>
      </c>
      <c r="E17" s="6">
        <f t="shared" si="12"/>
        <v>0.7015306122448981</v>
      </c>
      <c r="F17" s="6">
        <f t="shared" si="15"/>
        <v>0.74806949806949807</v>
      </c>
      <c r="G17" s="3">
        <f t="shared" si="16"/>
        <v>4.6538885824599974E-2</v>
      </c>
      <c r="H17" s="6">
        <f t="shared" si="13"/>
        <v>0.15900195694716246</v>
      </c>
      <c r="I17" s="3">
        <f t="shared" si="17"/>
        <v>4.6538885824599974E-2</v>
      </c>
      <c r="J17" s="7">
        <f t="shared" ref="J15:J20" si="19">(D18-D16)/(C18-C16)</f>
        <v>0.45353572750833027</v>
      </c>
      <c r="K17" s="8">
        <f t="shared" si="18"/>
        <v>0.24799488473656783</v>
      </c>
      <c r="L17" s="4">
        <v>1</v>
      </c>
    </row>
    <row r="18" spans="2:12" x14ac:dyDescent="0.25">
      <c r="B18" s="4" t="s">
        <v>24</v>
      </c>
      <c r="C18" s="3">
        <f t="shared" si="14"/>
        <v>0.79999999999999993</v>
      </c>
      <c r="D18" s="6">
        <f t="shared" si="11"/>
        <v>0.27397260273972601</v>
      </c>
      <c r="E18" s="6">
        <f t="shared" si="12"/>
        <v>-0.10790016888722084</v>
      </c>
      <c r="F18" s="6">
        <f t="shared" si="15"/>
        <v>0.15900195694716246</v>
      </c>
      <c r="G18" s="3">
        <f t="shared" si="16"/>
        <v>0.26690212583438333</v>
      </c>
      <c r="H18" s="6">
        <f t="shared" si="13"/>
        <v>-0.11747371774450455</v>
      </c>
      <c r="I18" s="3">
        <f t="shared" si="17"/>
        <v>0.26690212583438333</v>
      </c>
      <c r="J18" s="6">
        <f t="shared" si="19"/>
        <v>2.0764119601328949E-2</v>
      </c>
      <c r="K18" s="3">
        <f t="shared" si="18"/>
        <v>0.1286642884885498</v>
      </c>
      <c r="L18" s="4"/>
    </row>
    <row r="19" spans="2:12" x14ac:dyDescent="0.25">
      <c r="B19" s="4" t="s">
        <v>25</v>
      </c>
      <c r="C19" s="3">
        <f t="shared" si="14"/>
        <v>1.4</v>
      </c>
      <c r="D19" s="6">
        <f t="shared" si="11"/>
        <v>0.20348837209302328</v>
      </c>
      <c r="E19" s="6">
        <f t="shared" si="12"/>
        <v>-0.10309626825310979</v>
      </c>
      <c r="F19" s="6">
        <f t="shared" si="15"/>
        <v>-0.11747371774450455</v>
      </c>
      <c r="G19" s="3">
        <f t="shared" si="16"/>
        <v>1.4377449491394759E-2</v>
      </c>
      <c r="H19" s="6">
        <f t="shared" si="13"/>
        <v>-8.2737030411449031E-2</v>
      </c>
      <c r="I19" s="3">
        <f t="shared" si="17"/>
        <v>1.4377449491394759E-2</v>
      </c>
      <c r="J19" s="7">
        <f t="shared" si="19"/>
        <v>-0.10010537407797679</v>
      </c>
      <c r="K19" s="8" t="s">
        <v>37</v>
      </c>
      <c r="L19" s="4">
        <v>2</v>
      </c>
    </row>
    <row r="20" spans="2:12" x14ac:dyDescent="0.25">
      <c r="B20" s="4" t="s">
        <v>26</v>
      </c>
      <c r="C20" s="3">
        <f t="shared" si="14"/>
        <v>2</v>
      </c>
      <c r="D20" s="6">
        <f t="shared" si="11"/>
        <v>0.15384615384615385</v>
      </c>
      <c r="E20" s="6">
        <f t="shared" si="12"/>
        <v>-6.5088757396449703E-2</v>
      </c>
      <c r="F20" s="9">
        <f t="shared" si="15"/>
        <v>-8.2737030411449031E-2</v>
      </c>
      <c r="G20" s="3">
        <f t="shared" si="16"/>
        <v>1.7648273014999327E-2</v>
      </c>
      <c r="H20" s="6">
        <f t="shared" si="13"/>
        <v>-5.2776171197223845E-2</v>
      </c>
      <c r="I20" s="3">
        <f t="shared" si="17"/>
        <v>1.7648273014999327E-2</v>
      </c>
      <c r="J20" s="6">
        <f t="shared" si="19"/>
        <v>-6.7756600804336445E-2</v>
      </c>
      <c r="K20" s="3">
        <f t="shared" si="18"/>
        <v>2.6678434078867413E-3</v>
      </c>
      <c r="L20" s="4"/>
    </row>
    <row r="21" spans="2:12" x14ac:dyDescent="0.25">
      <c r="B21" s="4" t="s">
        <v>32</v>
      </c>
      <c r="C21" s="3">
        <f t="shared" si="14"/>
        <v>2.6</v>
      </c>
      <c r="D21" s="6">
        <f t="shared" ref="D21:D30" si="20">C21/(3*C21*C21+1)</f>
        <v>0.12218045112781954</v>
      </c>
      <c r="E21" s="6">
        <f t="shared" ref="E21:E30" si="21">-(3*C21*C21-1)/(9*POWER(C21,4)+6*C21*C21+1)</f>
        <v>-4.2575894623777484E-2</v>
      </c>
      <c r="F21" s="9">
        <f t="shared" ref="F21:F30" si="22">(D20-D21)/(C20-C21)</f>
        <v>-5.2776171197223845E-2</v>
      </c>
      <c r="G21" s="3">
        <f t="shared" ref="G21:G30" si="23">ABS(F21-E21)</f>
        <v>1.0200276573446361E-2</v>
      </c>
      <c r="H21" s="6">
        <f t="shared" ref="H21:H30" si="24">(D22-D21)/(C22-C21)</f>
        <v>-3.5496212157126748E-2</v>
      </c>
      <c r="I21" s="3">
        <f t="shared" ref="I21:I30" si="25">ABS(F21-E21)</f>
        <v>1.0200276573446361E-2</v>
      </c>
      <c r="J21" s="7">
        <f t="shared" ref="J21:J30" si="26">(D22-D20)/(C22-C20)</f>
        <v>-4.4136191677175293E-2</v>
      </c>
      <c r="K21" s="8">
        <f t="shared" ref="K21:K30" si="27">ABS(J21-E21)</f>
        <v>1.5602970533978092E-3</v>
      </c>
      <c r="L21" s="4">
        <v>3</v>
      </c>
    </row>
    <row r="22" spans="2:12" x14ac:dyDescent="0.25">
      <c r="B22" s="4" t="s">
        <v>33</v>
      </c>
      <c r="C22" s="3">
        <f t="shared" si="14"/>
        <v>3.2</v>
      </c>
      <c r="D22" s="6">
        <f t="shared" si="20"/>
        <v>0.10088272383354349</v>
      </c>
      <c r="E22" s="6">
        <f t="shared" si="21"/>
        <v>-2.9538092610467689E-2</v>
      </c>
      <c r="F22" s="9">
        <f t="shared" si="22"/>
        <v>-3.5496212157126748E-2</v>
      </c>
      <c r="G22" s="3">
        <f t="shared" si="23"/>
        <v>5.9581195466590596E-3</v>
      </c>
      <c r="H22" s="6">
        <f t="shared" si="24"/>
        <v>-2.5237752718962378E-2</v>
      </c>
      <c r="I22" s="3">
        <f t="shared" si="25"/>
        <v>5.9581195466590596E-3</v>
      </c>
      <c r="J22" s="6">
        <f t="shared" si="26"/>
        <v>-3.0366982438044563E-2</v>
      </c>
      <c r="K22" s="3">
        <f t="shared" si="27"/>
        <v>8.2888982757687441E-4</v>
      </c>
      <c r="L22" s="4"/>
    </row>
    <row r="23" spans="2:12" x14ac:dyDescent="0.25">
      <c r="B23" s="4" t="s">
        <v>34</v>
      </c>
      <c r="C23" s="3">
        <f t="shared" si="14"/>
        <v>3.8000000000000003</v>
      </c>
      <c r="D23" s="6">
        <f t="shared" si="20"/>
        <v>8.5740072202166062E-2</v>
      </c>
      <c r="E23" s="6">
        <f t="shared" si="21"/>
        <v>-2.154498299208904E-2</v>
      </c>
      <c r="F23" s="9">
        <f t="shared" si="22"/>
        <v>-2.5237752718962378E-2</v>
      </c>
      <c r="G23" s="3">
        <f t="shared" si="23"/>
        <v>3.6927697268733378E-3</v>
      </c>
      <c r="H23" s="6">
        <f t="shared" si="24"/>
        <v>-1.8774640761226914E-2</v>
      </c>
      <c r="I23" s="3">
        <f t="shared" si="25"/>
        <v>3.6927697268733378E-3</v>
      </c>
      <c r="J23" s="7">
        <f t="shared" si="26"/>
        <v>-2.2006196740094644E-2</v>
      </c>
      <c r="K23" s="8">
        <f t="shared" si="27"/>
        <v>4.6121374800560389E-4</v>
      </c>
      <c r="L23" s="4">
        <v>4</v>
      </c>
    </row>
    <row r="24" spans="2:12" x14ac:dyDescent="0.25">
      <c r="B24" s="4" t="s">
        <v>35</v>
      </c>
      <c r="C24" s="3">
        <f t="shared" si="14"/>
        <v>4.4000000000000004</v>
      </c>
      <c r="D24" s="6">
        <f t="shared" si="20"/>
        <v>7.4475287745429913E-2</v>
      </c>
      <c r="E24" s="6">
        <f t="shared" si="21"/>
        <v>-1.6353209148262528E-2</v>
      </c>
      <c r="F24" s="9">
        <f t="shared" si="22"/>
        <v>-1.8774640761226914E-2</v>
      </c>
      <c r="G24" s="3">
        <f t="shared" si="23"/>
        <v>2.4214316129643858E-3</v>
      </c>
      <c r="H24" s="6">
        <f t="shared" si="24"/>
        <v>-1.4476356768698993E-2</v>
      </c>
      <c r="I24" s="3">
        <f t="shared" si="25"/>
        <v>2.4214316129643858E-3</v>
      </c>
      <c r="J24" s="6">
        <f t="shared" si="26"/>
        <v>-1.6625498764962953E-2</v>
      </c>
      <c r="K24" s="3">
        <f t="shared" si="27"/>
        <v>2.7228961670042531E-4</v>
      </c>
    </row>
    <row r="25" spans="2:12" x14ac:dyDescent="0.25">
      <c r="B25" s="4" t="s">
        <v>36</v>
      </c>
      <c r="C25" s="3">
        <f t="shared" si="14"/>
        <v>5</v>
      </c>
      <c r="D25" s="6">
        <f t="shared" si="20"/>
        <v>6.5789473684210523E-2</v>
      </c>
      <c r="E25" s="6">
        <f t="shared" si="21"/>
        <v>-1.2811634349030472E-2</v>
      </c>
      <c r="F25" s="9">
        <f t="shared" si="22"/>
        <v>-1.4476356768698993E-2</v>
      </c>
      <c r="G25" s="3">
        <f t="shared" si="23"/>
        <v>1.6647224196685208E-3</v>
      </c>
      <c r="H25" s="6">
        <f t="shared" si="24"/>
        <v>-1.1486172309191143E-2</v>
      </c>
      <c r="I25" s="3">
        <f t="shared" si="25"/>
        <v>1.6647224196685208E-3</v>
      </c>
      <c r="J25" s="6">
        <f t="shared" si="26"/>
        <v>-1.2981264538945068E-2</v>
      </c>
      <c r="K25" s="3">
        <f t="shared" si="27"/>
        <v>1.6963018991459668E-4</v>
      </c>
    </row>
    <row r="26" spans="2:12" x14ac:dyDescent="0.25">
      <c r="C26" s="3">
        <f t="shared" si="14"/>
        <v>5.6</v>
      </c>
      <c r="D26" s="6">
        <f t="shared" si="20"/>
        <v>5.8897770298695841E-2</v>
      </c>
      <c r="E26" s="6">
        <f t="shared" si="21"/>
        <v>-1.0296225095037654E-2</v>
      </c>
      <c r="F26" s="9">
        <f t="shared" si="22"/>
        <v>-1.1486172309191143E-2</v>
      </c>
      <c r="G26" s="3">
        <f t="shared" si="23"/>
        <v>1.1899472141534886E-3</v>
      </c>
      <c r="H26" s="6">
        <f t="shared" si="24"/>
        <v>1.0517458981909972E-2</v>
      </c>
      <c r="I26" s="3">
        <f t="shared" si="25"/>
        <v>1.1899472141534886E-3</v>
      </c>
      <c r="J26" s="6">
        <f t="shared" si="26"/>
        <v>1.3157894736842105E-2</v>
      </c>
      <c r="K26" s="3">
        <f t="shared" si="27"/>
        <v>2.3454119831879758E-2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</dc:creator>
  <cp:lastModifiedBy>Михаил Зубенко</cp:lastModifiedBy>
  <dcterms:created xsi:type="dcterms:W3CDTF">2025-04-07T15:08:55Z</dcterms:created>
  <dcterms:modified xsi:type="dcterms:W3CDTF">2025-05-23T09:52:18Z</dcterms:modified>
</cp:coreProperties>
</file>
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-sem\ЧМ\"/>
    </mc:Choice>
  </mc:AlternateContent>
  <xr:revisionPtr revIDLastSave="0" documentId="8_{8282210F-F15B-490C-979A-E171F0D63254}" xr6:coauthVersionLast="47" xr6:coauthVersionMax="47" xr10:uidLastSave="{00000000-0000-0000-0000-000000000000}"/>
  <bookViews>
    <workbookView xWindow="-120" yWindow="-120" windowWidth="29040" windowHeight="15840" xr2:uid="{25073FBC-FBC7-4018-B2F7-0F6C31F9DD0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1" l="1" a="1"/>
  <c r="I45" i="1" s="1"/>
  <c r="K42" i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J42" i="1"/>
  <c r="J43" i="1" s="1"/>
  <c r="J40" i="1"/>
  <c r="I43" i="1"/>
  <c r="I36" i="1" a="1"/>
  <c r="I36" i="1" s="1"/>
  <c r="J34" i="1"/>
  <c r="I34" i="1"/>
  <c r="J33" i="1"/>
  <c r="K33" i="1" s="1"/>
  <c r="J31" i="1"/>
  <c r="H27" i="1"/>
  <c r="I20" i="1"/>
  <c r="I23" i="1"/>
  <c r="J25" i="1"/>
  <c r="J26" i="1" s="1"/>
  <c r="J17" i="1"/>
  <c r="J19" i="1" s="1"/>
  <c r="J20" i="1" s="1"/>
  <c r="I26" i="1"/>
  <c r="I14" i="1"/>
  <c r="I13" i="1"/>
  <c r="I12" i="1"/>
  <c r="J10" i="1"/>
  <c r="K10" i="1"/>
  <c r="L10" i="1"/>
  <c r="M10" i="1"/>
  <c r="N10" i="1"/>
  <c r="O10" i="1"/>
  <c r="P10" i="1"/>
  <c r="Q10" i="1"/>
  <c r="R10" i="1"/>
  <c r="I10" i="1"/>
  <c r="J9" i="1"/>
  <c r="K9" i="1"/>
  <c r="L9" i="1"/>
  <c r="M9" i="1"/>
  <c r="N9" i="1"/>
  <c r="O9" i="1"/>
  <c r="P9" i="1"/>
  <c r="Q9" i="1"/>
  <c r="R9" i="1"/>
  <c r="I9" i="1"/>
  <c r="J8" i="1"/>
  <c r="K8" i="1"/>
  <c r="L8" i="1"/>
  <c r="M8" i="1"/>
  <c r="N8" i="1"/>
  <c r="O8" i="1"/>
  <c r="P8" i="1"/>
  <c r="Q8" i="1"/>
  <c r="R8" i="1"/>
  <c r="S8" i="1"/>
  <c r="K7" i="1"/>
  <c r="L7" i="1" s="1"/>
  <c r="M7" i="1" s="1"/>
  <c r="N7" i="1" s="1"/>
  <c r="O7" i="1" s="1"/>
  <c r="P7" i="1" s="1"/>
  <c r="Q7" i="1" s="1"/>
  <c r="R7" i="1" s="1"/>
  <c r="S7" i="1" s="1"/>
  <c r="J7" i="1"/>
  <c r="K43" i="1" l="1"/>
  <c r="L33" i="1"/>
  <c r="K34" i="1"/>
  <c r="K25" i="1"/>
  <c r="K19" i="1"/>
  <c r="L43" i="1" l="1"/>
  <c r="L34" i="1"/>
  <c r="M33" i="1"/>
  <c r="L25" i="1"/>
  <c r="K26" i="1"/>
  <c r="K20" i="1"/>
  <c r="L19" i="1"/>
  <c r="M43" i="1" l="1"/>
  <c r="M34" i="1"/>
  <c r="N33" i="1"/>
  <c r="M25" i="1"/>
  <c r="L26" i="1"/>
  <c r="M19" i="1"/>
  <c r="L20" i="1"/>
  <c r="N43" i="1" l="1"/>
  <c r="N34" i="1"/>
  <c r="O33" i="1"/>
  <c r="N25" i="1"/>
  <c r="M26" i="1"/>
  <c r="N19" i="1"/>
  <c r="M20" i="1"/>
  <c r="O43" i="1" l="1"/>
  <c r="P33" i="1"/>
  <c r="O34" i="1"/>
  <c r="O25" i="1"/>
  <c r="N26" i="1"/>
  <c r="O19" i="1"/>
  <c r="N20" i="1"/>
  <c r="P43" i="1" l="1"/>
  <c r="Q33" i="1"/>
  <c r="P34" i="1"/>
  <c r="P25" i="1"/>
  <c r="O26" i="1"/>
  <c r="P19" i="1"/>
  <c r="O20" i="1"/>
  <c r="Q43" i="1" l="1"/>
  <c r="R33" i="1"/>
  <c r="Q34" i="1"/>
  <c r="Q25" i="1"/>
  <c r="P26" i="1"/>
  <c r="Q19" i="1"/>
  <c r="P20" i="1"/>
  <c r="R43" i="1" l="1"/>
  <c r="R34" i="1"/>
  <c r="S33" i="1"/>
  <c r="R25" i="1"/>
  <c r="Q26" i="1"/>
  <c r="R19" i="1"/>
  <c r="Q20" i="1"/>
  <c r="S43" i="1" l="1"/>
  <c r="S34" i="1"/>
  <c r="T33" i="1"/>
  <c r="S25" i="1"/>
  <c r="R26" i="1"/>
  <c r="S19" i="1"/>
  <c r="R20" i="1"/>
  <c r="T43" i="1" l="1"/>
  <c r="U33" i="1"/>
  <c r="T34" i="1"/>
  <c r="T25" i="1"/>
  <c r="S26" i="1"/>
  <c r="T19" i="1"/>
  <c r="S20" i="1"/>
  <c r="U43" i="1" l="1"/>
  <c r="V33" i="1"/>
  <c r="U34" i="1"/>
  <c r="U25" i="1"/>
  <c r="T26" i="1"/>
  <c r="U19" i="1"/>
  <c r="T20" i="1"/>
  <c r="V43" i="1" l="1"/>
  <c r="W33" i="1"/>
  <c r="V34" i="1"/>
  <c r="V25" i="1"/>
  <c r="U26" i="1"/>
  <c r="V19" i="1"/>
  <c r="U20" i="1"/>
  <c r="W43" i="1" l="1"/>
  <c r="X33" i="1"/>
  <c r="W34" i="1"/>
  <c r="W25" i="1"/>
  <c r="V26" i="1"/>
  <c r="W19" i="1"/>
  <c r="V20" i="1"/>
  <c r="X43" i="1" l="1"/>
  <c r="X34" i="1"/>
  <c r="Y33" i="1"/>
  <c r="X25" i="1"/>
  <c r="W26" i="1"/>
  <c r="X19" i="1"/>
  <c r="W20" i="1"/>
  <c r="Y43" i="1" l="1"/>
  <c r="Y34" i="1"/>
  <c r="Z33" i="1"/>
  <c r="Y25" i="1"/>
  <c r="X26" i="1"/>
  <c r="Y19" i="1"/>
  <c r="X20" i="1"/>
  <c r="Z43" i="1" l="1"/>
  <c r="Z34" i="1"/>
  <c r="AA33" i="1"/>
  <c r="Z25" i="1"/>
  <c r="Y26" i="1"/>
  <c r="Z19" i="1"/>
  <c r="Y20" i="1"/>
  <c r="AA43" i="1" l="1"/>
  <c r="AA34" i="1"/>
  <c r="AB33" i="1"/>
  <c r="AA25" i="1"/>
  <c r="Z26" i="1"/>
  <c r="AA19" i="1"/>
  <c r="Z20" i="1"/>
  <c r="AB43" i="1" l="1"/>
  <c r="AB34" i="1"/>
  <c r="AC33" i="1"/>
  <c r="AB25" i="1"/>
  <c r="AA26" i="1"/>
  <c r="AB19" i="1"/>
  <c r="AA20" i="1"/>
  <c r="AC43" i="1" l="1"/>
  <c r="AD33" i="1"/>
  <c r="AC34" i="1"/>
  <c r="AC25" i="1"/>
  <c r="AB26" i="1"/>
  <c r="AC19" i="1"/>
  <c r="AB20" i="1"/>
  <c r="AE33" i="1" l="1"/>
  <c r="AD34" i="1"/>
  <c r="AC26" i="1"/>
  <c r="AD19" i="1"/>
  <c r="AC20" i="1"/>
  <c r="AE34" i="1" l="1"/>
  <c r="AF33" i="1"/>
  <c r="AE19" i="1"/>
  <c r="AD20" i="1"/>
  <c r="AF34" i="1" l="1"/>
  <c r="AG33" i="1"/>
  <c r="AF19" i="1"/>
  <c r="AE20" i="1"/>
  <c r="AH33" i="1" l="1"/>
  <c r="AG34" i="1"/>
  <c r="AG19" i="1"/>
  <c r="AF20" i="1"/>
  <c r="I8" i="1"/>
  <c r="G4" i="1"/>
  <c r="AI33" i="1" l="1"/>
  <c r="AH34" i="1"/>
  <c r="AH19" i="1"/>
  <c r="AG20" i="1"/>
  <c r="AJ33" i="1" l="1"/>
  <c r="AI34" i="1"/>
  <c r="AI19" i="1"/>
  <c r="AH20" i="1"/>
  <c r="AJ34" i="1" l="1"/>
  <c r="AK33" i="1"/>
  <c r="AJ19" i="1"/>
  <c r="AI20" i="1"/>
  <c r="AK34" i="1" l="1"/>
  <c r="AL33" i="1"/>
  <c r="AK19" i="1"/>
  <c r="AJ20" i="1"/>
  <c r="AM33" i="1" l="1"/>
  <c r="AL34" i="1"/>
  <c r="AL19" i="1"/>
  <c r="AK20" i="1"/>
  <c r="AN33" i="1" l="1"/>
  <c r="AM34" i="1"/>
  <c r="AM19" i="1"/>
  <c r="AL20" i="1"/>
  <c r="AN34" i="1" l="1"/>
  <c r="AO33" i="1"/>
  <c r="AN19" i="1"/>
  <c r="AM20" i="1"/>
  <c r="AP33" i="1" l="1"/>
  <c r="AO34" i="1"/>
  <c r="AO19" i="1"/>
  <c r="AN20" i="1"/>
  <c r="AP34" i="1" l="1"/>
  <c r="AQ33" i="1"/>
  <c r="AP19" i="1"/>
  <c r="AO20" i="1"/>
  <c r="AQ34" i="1" l="1"/>
  <c r="AR33" i="1"/>
  <c r="AQ19" i="1"/>
  <c r="AP20" i="1"/>
  <c r="AS33" i="1" l="1"/>
  <c r="AR34" i="1"/>
  <c r="AR19" i="1"/>
  <c r="AQ20" i="1"/>
  <c r="AT33" i="1" l="1"/>
  <c r="AS34" i="1"/>
  <c r="AS19" i="1"/>
  <c r="AR20" i="1"/>
  <c r="AU33" i="1" l="1"/>
  <c r="AT34" i="1"/>
  <c r="AT19" i="1"/>
  <c r="AS20" i="1"/>
  <c r="AV33" i="1" l="1"/>
  <c r="AU34" i="1"/>
  <c r="AU19" i="1"/>
  <c r="AT20" i="1"/>
  <c r="AV34" i="1" l="1"/>
  <c r="AW33" i="1"/>
  <c r="AW34" i="1" s="1"/>
  <c r="AV19" i="1"/>
  <c r="AU20" i="1"/>
  <c r="AW19" i="1" l="1"/>
  <c r="AW20" i="1" s="1"/>
  <c r="AV20" i="1"/>
  <c r="H2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<sst xmlns="http://schemas.openxmlformats.org/spreadsheetml/2006/main" count="37" uniqueCount="21">
  <si>
    <t>f(x)=xsin3x</t>
  </si>
  <si>
    <t>a=</t>
  </si>
  <si>
    <t>b=</t>
  </si>
  <si>
    <t>n=</t>
  </si>
  <si>
    <t>Прямоугольниками</t>
  </si>
  <si>
    <t>h=(b-a)/n=</t>
  </si>
  <si>
    <t>i</t>
  </si>
  <si>
    <t>x</t>
  </si>
  <si>
    <t>f(x)</t>
  </si>
  <si>
    <t>x+h/2</t>
  </si>
  <si>
    <t>f(x+h/2)</t>
  </si>
  <si>
    <t>левые</t>
  </si>
  <si>
    <t>правые</t>
  </si>
  <si>
    <t>средние</t>
  </si>
  <si>
    <t>Трапеции</t>
  </si>
  <si>
    <t>h=</t>
  </si>
  <si>
    <t>2h=</t>
  </si>
  <si>
    <t>I(h)</t>
  </si>
  <si>
    <t>I(2h)</t>
  </si>
  <si>
    <t>Симпсона</t>
  </si>
  <si>
    <t>I=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</si>
</sst>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168" fontId="0" fillId="0" borderId="1" xfId="0" applyNumberFormat="1" applyBorder="1"/>
    <xf numFmtId="0" fontId="0" fillId="0" borderId="1" xfId="0" applyNumberFormat="1" applyBorder="1"/>
    <xf numFmtId="0" fontId="0" fillId="4" borderId="0" xfId="0" applyFill="1"/>
    <xf numFmtId="0" fontId="0" fillId="3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C8D8-E7EC-498B-819C-418EB5E9844E}">
  <dimension ref="B2:AW45"/>
  <sheetViews>
    <sheetView tabSelected="1" topLeftCell="B19" zoomScale="115" zoomScaleNormal="115" workbookViewId="0">
      <selection activeCell="J38" sqref="J38"/>
    </sheetView>
  </sheetViews>
  <sheetFormatPr defaultRowHeight="15" x14ac:dyDescent="0.25"/>
  <cols>
    <col min="2" max="2" width="11.140625" customWidth="1"/>
    <col min="4" max="4" width="13.5703125" customWidth="1"/>
    <col min="5" max="5" width="14.7109375" customWidth="1"/>
    <col min="6" max="6" width="15" customWidth="1"/>
  </cols>
  <sheetData>
    <row r="2" spans="2:19" x14ac:dyDescent="0.25">
      <c r="B2" t="s">
        <v>0</v>
      </c>
      <c r="C2" t="s">
        <v>1</v>
      </c>
      <c r="D2" s="1">
        <v>0</v>
      </c>
      <c r="E2" t="s">
        <v>2</v>
      </c>
      <c r="F2" s="1">
        <v>1</v>
      </c>
    </row>
    <row r="4" spans="2:19" x14ac:dyDescent="0.25">
      <c r="B4" t="s">
        <v>4</v>
      </c>
      <c r="D4" t="s">
        <v>3</v>
      </c>
      <c r="E4" s="1">
        <v>10</v>
      </c>
      <c r="F4" t="s">
        <v>5</v>
      </c>
      <c r="G4" s="1">
        <f>(F2-D2)/E4</f>
        <v>0.1</v>
      </c>
    </row>
    <row r="6" spans="2:19" x14ac:dyDescent="0.25">
      <c r="H6" s="3" t="s">
        <v>6</v>
      </c>
      <c r="I6" s="2">
        <v>0</v>
      </c>
      <c r="J6" s="2">
        <v>1</v>
      </c>
      <c r="K6" s="2">
        <v>2</v>
      </c>
      <c r="L6" s="2">
        <v>3</v>
      </c>
      <c r="M6" s="2">
        <v>4</v>
      </c>
      <c r="N6" s="2">
        <v>5</v>
      </c>
      <c r="O6" s="2">
        <v>6</v>
      </c>
      <c r="P6" s="2">
        <v>7</v>
      </c>
      <c r="Q6" s="2">
        <v>8</v>
      </c>
      <c r="R6" s="2">
        <v>9</v>
      </c>
      <c r="S6" s="2">
        <v>10</v>
      </c>
    </row>
    <row r="7" spans="2:19" x14ac:dyDescent="0.25">
      <c r="H7" s="3" t="s">
        <v>7</v>
      </c>
      <c r="I7" s="2">
        <v>0</v>
      </c>
      <c r="J7" s="2">
        <f>I7+$G$4</f>
        <v>0.1</v>
      </c>
      <c r="K7" s="2">
        <f t="shared" ref="K7:S7" si="0">J7+$G$4</f>
        <v>0.2</v>
      </c>
      <c r="L7" s="2">
        <f t="shared" si="0"/>
        <v>0.30000000000000004</v>
      </c>
      <c r="M7" s="2">
        <f t="shared" si="0"/>
        <v>0.4</v>
      </c>
      <c r="N7" s="2">
        <f t="shared" si="0"/>
        <v>0.5</v>
      </c>
      <c r="O7" s="2">
        <f t="shared" si="0"/>
        <v>0.6</v>
      </c>
      <c r="P7" s="2">
        <f t="shared" si="0"/>
        <v>0.7</v>
      </c>
      <c r="Q7" s="2">
        <f t="shared" si="0"/>
        <v>0.79999999999999993</v>
      </c>
      <c r="R7" s="2">
        <f t="shared" si="0"/>
        <v>0.89999999999999991</v>
      </c>
      <c r="S7" s="2">
        <f t="shared" si="0"/>
        <v>0.99999999999999989</v>
      </c>
    </row>
    <row r="8" spans="2:19" x14ac:dyDescent="0.25">
      <c r="H8" s="3" t="s">
        <v>8</v>
      </c>
      <c r="I8" s="2">
        <f>I7*SIN(3*I7)</f>
        <v>0</v>
      </c>
      <c r="J8" s="4">
        <f t="shared" ref="J8:S8" si="1">J7*SIN(3*J7)</f>
        <v>2.9552020666133962E-2</v>
      </c>
      <c r="K8" s="4">
        <f t="shared" si="1"/>
        <v>0.1129284946790071</v>
      </c>
      <c r="L8" s="4">
        <f t="shared" si="1"/>
        <v>0.23499807288824509</v>
      </c>
      <c r="M8" s="4">
        <f t="shared" si="1"/>
        <v>0.37281563438689058</v>
      </c>
      <c r="N8" s="4">
        <f t="shared" si="1"/>
        <v>0.49874749330202722</v>
      </c>
      <c r="O8" s="4">
        <f t="shared" si="1"/>
        <v>0.58430857852691709</v>
      </c>
      <c r="P8" s="4">
        <f t="shared" si="1"/>
        <v>0.60424655665421168</v>
      </c>
      <c r="Q8" s="4">
        <f t="shared" si="1"/>
        <v>0.5403705444409207</v>
      </c>
      <c r="R8" s="4">
        <f t="shared" si="1"/>
        <v>0.38464189221044709</v>
      </c>
      <c r="S8" s="4">
        <f t="shared" si="1"/>
        <v>0.14112000805986763</v>
      </c>
    </row>
    <row r="9" spans="2:19" x14ac:dyDescent="0.25">
      <c r="H9" s="3" t="s">
        <v>9</v>
      </c>
      <c r="I9" s="2">
        <f>I7+$G$4/2</f>
        <v>0.05</v>
      </c>
      <c r="J9" s="2">
        <f t="shared" ref="J9:S9" si="2">J7+$G$4/2</f>
        <v>0.15000000000000002</v>
      </c>
      <c r="K9" s="2">
        <f t="shared" si="2"/>
        <v>0.25</v>
      </c>
      <c r="L9" s="2">
        <f t="shared" si="2"/>
        <v>0.35000000000000003</v>
      </c>
      <c r="M9" s="2">
        <f t="shared" si="2"/>
        <v>0.45</v>
      </c>
      <c r="N9" s="2">
        <f t="shared" si="2"/>
        <v>0.55000000000000004</v>
      </c>
      <c r="O9" s="2">
        <f t="shared" si="2"/>
        <v>0.65</v>
      </c>
      <c r="P9" s="2">
        <f t="shared" si="2"/>
        <v>0.75</v>
      </c>
      <c r="Q9" s="2">
        <f t="shared" si="2"/>
        <v>0.85</v>
      </c>
      <c r="R9" s="2">
        <f t="shared" si="2"/>
        <v>0.95</v>
      </c>
      <c r="S9" s="2"/>
    </row>
    <row r="10" spans="2:19" x14ac:dyDescent="0.25">
      <c r="H10" s="3" t="s">
        <v>10</v>
      </c>
      <c r="I10" s="4">
        <f>I9*SIN(3*I9)</f>
        <v>7.4719066236799622E-3</v>
      </c>
      <c r="J10" s="4">
        <f t="shared" ref="J10:S10" si="3">J9*SIN(3*J9)</f>
        <v>6.5244830116684555E-2</v>
      </c>
      <c r="K10" s="4">
        <f t="shared" si="3"/>
        <v>0.17040969000583353</v>
      </c>
      <c r="L10" s="4">
        <f t="shared" si="3"/>
        <v>0.30359812895790594</v>
      </c>
      <c r="M10" s="4">
        <f t="shared" si="3"/>
        <v>0.4390755110219966</v>
      </c>
      <c r="N10" s="4">
        <f t="shared" si="3"/>
        <v>0.54827576564965541</v>
      </c>
      <c r="O10" s="4">
        <f t="shared" si="3"/>
        <v>0.60382381475251501</v>
      </c>
      <c r="P10" s="4">
        <f t="shared" si="3"/>
        <v>0.58355489766594093</v>
      </c>
      <c r="Q10" s="4">
        <f t="shared" si="3"/>
        <v>0.47403115978270444</v>
      </c>
      <c r="R10" s="4">
        <f t="shared" si="3"/>
        <v>0.2731041117254176</v>
      </c>
      <c r="S10" s="4"/>
    </row>
    <row r="12" spans="2:19" x14ac:dyDescent="0.25">
      <c r="H12" s="2" t="s">
        <v>11</v>
      </c>
      <c r="I12" s="2">
        <f>SUM(I8:R8)*G4</f>
        <v>0.33626092877548008</v>
      </c>
    </row>
    <row r="13" spans="2:19" x14ac:dyDescent="0.25">
      <c r="H13" s="2" t="s">
        <v>12</v>
      </c>
      <c r="I13" s="5">
        <f>SUM(J8:S8)*G4</f>
        <v>0.35037292958146682</v>
      </c>
    </row>
    <row r="14" spans="2:19" x14ac:dyDescent="0.25">
      <c r="H14" s="2" t="s">
        <v>13</v>
      </c>
      <c r="I14" s="5">
        <f>SUM(I10:R10)*G4</f>
        <v>0.34685898163023343</v>
      </c>
    </row>
    <row r="17" spans="7:49" x14ac:dyDescent="0.25">
      <c r="H17" s="1" t="s">
        <v>14</v>
      </c>
      <c r="I17" s="1" t="s">
        <v>15</v>
      </c>
      <c r="J17" s="1">
        <f>1/40</f>
        <v>2.5000000000000001E-2</v>
      </c>
    </row>
    <row r="18" spans="7:49" x14ac:dyDescent="0.25">
      <c r="H18" s="3" t="s">
        <v>6</v>
      </c>
      <c r="I18" s="2">
        <v>0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>
        <v>10</v>
      </c>
      <c r="T18" s="2">
        <v>11</v>
      </c>
      <c r="U18" s="2">
        <v>12</v>
      </c>
      <c r="V18" s="2">
        <v>13</v>
      </c>
      <c r="W18" s="2">
        <v>14</v>
      </c>
      <c r="X18" s="2">
        <v>15</v>
      </c>
      <c r="Y18" s="2">
        <v>16</v>
      </c>
      <c r="Z18" s="2">
        <v>17</v>
      </c>
      <c r="AA18" s="2">
        <v>18</v>
      </c>
      <c r="AB18" s="2">
        <v>19</v>
      </c>
      <c r="AC18" s="2">
        <v>20</v>
      </c>
      <c r="AD18" s="2">
        <v>21</v>
      </c>
      <c r="AE18" s="2">
        <v>22</v>
      </c>
      <c r="AF18" s="2">
        <v>23</v>
      </c>
      <c r="AG18" s="2">
        <v>24</v>
      </c>
      <c r="AH18" s="2">
        <v>25</v>
      </c>
      <c r="AI18" s="2">
        <v>26</v>
      </c>
      <c r="AJ18" s="2">
        <v>27</v>
      </c>
      <c r="AK18" s="2">
        <v>28</v>
      </c>
      <c r="AL18" s="2">
        <v>29</v>
      </c>
      <c r="AM18" s="2">
        <v>30</v>
      </c>
      <c r="AN18" s="2">
        <v>31</v>
      </c>
      <c r="AO18" s="2">
        <v>32</v>
      </c>
      <c r="AP18" s="2">
        <v>33</v>
      </c>
      <c r="AQ18" s="2">
        <v>34</v>
      </c>
      <c r="AR18" s="2">
        <v>35</v>
      </c>
      <c r="AS18" s="2">
        <v>36</v>
      </c>
      <c r="AT18" s="2">
        <v>37</v>
      </c>
      <c r="AU18" s="2">
        <v>38</v>
      </c>
      <c r="AV18" s="2">
        <v>39</v>
      </c>
      <c r="AW18" s="2">
        <v>40</v>
      </c>
    </row>
    <row r="19" spans="7:49" x14ac:dyDescent="0.25">
      <c r="H19" s="3" t="s">
        <v>7</v>
      </c>
      <c r="I19" s="2">
        <v>0</v>
      </c>
      <c r="J19" s="2">
        <f>I19+$J$17</f>
        <v>2.5000000000000001E-2</v>
      </c>
      <c r="K19" s="2">
        <f>J19+$J$17</f>
        <v>0.05</v>
      </c>
      <c r="L19" s="2">
        <f t="shared" ref="L19:AW19" si="4">K19+$J$17</f>
        <v>7.5000000000000011E-2</v>
      </c>
      <c r="M19" s="2">
        <f t="shared" si="4"/>
        <v>0.1</v>
      </c>
      <c r="N19" s="2">
        <f t="shared" si="4"/>
        <v>0.125</v>
      </c>
      <c r="O19" s="2">
        <f t="shared" si="4"/>
        <v>0.15</v>
      </c>
      <c r="P19" s="2">
        <f t="shared" si="4"/>
        <v>0.17499999999999999</v>
      </c>
      <c r="Q19" s="2">
        <f t="shared" si="4"/>
        <v>0.19999999999999998</v>
      </c>
      <c r="R19" s="2">
        <f t="shared" si="4"/>
        <v>0.22499999999999998</v>
      </c>
      <c r="S19" s="2">
        <f t="shared" si="4"/>
        <v>0.24999999999999997</v>
      </c>
      <c r="T19" s="2">
        <f t="shared" si="4"/>
        <v>0.27499999999999997</v>
      </c>
      <c r="U19" s="2">
        <f t="shared" si="4"/>
        <v>0.3</v>
      </c>
      <c r="V19" s="2">
        <f t="shared" si="4"/>
        <v>0.32500000000000001</v>
      </c>
      <c r="W19" s="2">
        <f t="shared" si="4"/>
        <v>0.35000000000000003</v>
      </c>
      <c r="X19" s="2">
        <f t="shared" si="4"/>
        <v>0.37500000000000006</v>
      </c>
      <c r="Y19" s="2">
        <f t="shared" si="4"/>
        <v>0.40000000000000008</v>
      </c>
      <c r="Z19" s="2">
        <f t="shared" si="4"/>
        <v>0.4250000000000001</v>
      </c>
      <c r="AA19" s="2">
        <f t="shared" si="4"/>
        <v>0.45000000000000012</v>
      </c>
      <c r="AB19" s="2">
        <f t="shared" si="4"/>
        <v>0.47500000000000014</v>
      </c>
      <c r="AC19" s="2">
        <f t="shared" si="4"/>
        <v>0.50000000000000011</v>
      </c>
      <c r="AD19" s="2">
        <f t="shared" si="4"/>
        <v>0.52500000000000013</v>
      </c>
      <c r="AE19" s="2">
        <f t="shared" si="4"/>
        <v>0.55000000000000016</v>
      </c>
      <c r="AF19" s="2">
        <f t="shared" si="4"/>
        <v>0.57500000000000018</v>
      </c>
      <c r="AG19" s="2">
        <f t="shared" si="4"/>
        <v>0.6000000000000002</v>
      </c>
      <c r="AH19" s="2">
        <f t="shared" si="4"/>
        <v>0.62500000000000022</v>
      </c>
      <c r="AI19" s="2">
        <f t="shared" si="4"/>
        <v>0.65000000000000024</v>
      </c>
      <c r="AJ19" s="2">
        <f t="shared" si="4"/>
        <v>0.67500000000000027</v>
      </c>
      <c r="AK19" s="2">
        <f t="shared" si="4"/>
        <v>0.70000000000000029</v>
      </c>
      <c r="AL19" s="2">
        <f t="shared" si="4"/>
        <v>0.72500000000000031</v>
      </c>
      <c r="AM19" s="2">
        <f t="shared" si="4"/>
        <v>0.75000000000000033</v>
      </c>
      <c r="AN19" s="2">
        <f t="shared" si="4"/>
        <v>0.77500000000000036</v>
      </c>
      <c r="AO19" s="2">
        <f t="shared" si="4"/>
        <v>0.80000000000000038</v>
      </c>
      <c r="AP19" s="2">
        <f t="shared" si="4"/>
        <v>0.8250000000000004</v>
      </c>
      <c r="AQ19" s="2">
        <f t="shared" si="4"/>
        <v>0.85000000000000042</v>
      </c>
      <c r="AR19" s="2">
        <f t="shared" si="4"/>
        <v>0.87500000000000044</v>
      </c>
      <c r="AS19" s="2">
        <f t="shared" si="4"/>
        <v>0.90000000000000047</v>
      </c>
      <c r="AT19" s="2">
        <f t="shared" si="4"/>
        <v>0.92500000000000049</v>
      </c>
      <c r="AU19" s="2">
        <f t="shared" si="4"/>
        <v>0.95000000000000051</v>
      </c>
      <c r="AV19" s="2">
        <f t="shared" si="4"/>
        <v>0.97500000000000053</v>
      </c>
      <c r="AW19" s="2">
        <f t="shared" si="4"/>
        <v>1.0000000000000004</v>
      </c>
    </row>
    <row r="20" spans="7:49" x14ac:dyDescent="0.25">
      <c r="H20" s="3" t="s">
        <v>8</v>
      </c>
      <c r="I20" s="2">
        <f>I19*SIN(3*I19)</f>
        <v>0</v>
      </c>
      <c r="J20" s="2">
        <f t="shared" ref="J20:AW20" si="5">J19*SIN(3*J19)</f>
        <v>1.8732426818185589E-3</v>
      </c>
      <c r="K20" s="2">
        <f t="shared" si="5"/>
        <v>7.4719066236799622E-3</v>
      </c>
      <c r="L20" s="2">
        <f t="shared" si="5"/>
        <v>1.6732977159880914E-2</v>
      </c>
      <c r="M20" s="2">
        <f t="shared" si="5"/>
        <v>2.9552020666133962E-2</v>
      </c>
      <c r="N20" s="2">
        <f t="shared" si="5"/>
        <v>4.5784066135755946E-2</v>
      </c>
      <c r="O20" s="2">
        <f t="shared" si="5"/>
        <v>6.5244830116684527E-2</v>
      </c>
      <c r="P20" s="2">
        <f t="shared" si="5"/>
        <v>8.7712275817914617E-2</v>
      </c>
      <c r="Q20" s="2">
        <f t="shared" si="5"/>
        <v>0.11292849467900706</v>
      </c>
      <c r="R20" s="2">
        <f t="shared" si="5"/>
        <v>0.14060189626373243</v>
      </c>
      <c r="S20" s="2">
        <f t="shared" si="5"/>
        <v>0.1704096900058335</v>
      </c>
      <c r="T20" s="2">
        <f t="shared" si="5"/>
        <v>0.20200064011780908</v>
      </c>
      <c r="U20" s="2">
        <f t="shared" si="5"/>
        <v>0.23499807288824498</v>
      </c>
      <c r="V20" s="2">
        <f t="shared" si="5"/>
        <v>0.26900311365435875</v>
      </c>
      <c r="W20" s="2">
        <f t="shared" si="5"/>
        <v>0.30359812895790594</v>
      </c>
      <c r="X20" s="2">
        <f t="shared" si="5"/>
        <v>0.33835034778716078</v>
      </c>
      <c r="Y20" s="2">
        <f t="shared" si="5"/>
        <v>0.37281563438689064</v>
      </c>
      <c r="Z20" s="2">
        <f t="shared" si="5"/>
        <v>0.40654238389241915</v>
      </c>
      <c r="AA20" s="2">
        <f t="shared" si="5"/>
        <v>0.43907551102199671</v>
      </c>
      <c r="AB20" s="2">
        <f t="shared" si="5"/>
        <v>0.46996050125139044</v>
      </c>
      <c r="AC20" s="2">
        <f t="shared" si="5"/>
        <v>0.49874749330202733</v>
      </c>
      <c r="AD20" s="2">
        <f t="shared" si="5"/>
        <v>0.52499536140387182</v>
      </c>
      <c r="AE20" s="2">
        <f t="shared" si="5"/>
        <v>0.54827576564965552</v>
      </c>
      <c r="AF20" s="2">
        <f t="shared" si="5"/>
        <v>0.56817713883974696</v>
      </c>
      <c r="AG20" s="2">
        <f t="shared" si="5"/>
        <v>0.5843085785269172</v>
      </c>
      <c r="AH20" s="2">
        <f t="shared" si="5"/>
        <v>0.59630361350605876</v>
      </c>
      <c r="AI20" s="2">
        <f t="shared" si="5"/>
        <v>0.60382381475251512</v>
      </c>
      <c r="AJ20" s="2">
        <f t="shared" si="5"/>
        <v>0.60656222178951469</v>
      </c>
      <c r="AK20" s="2">
        <f t="shared" si="5"/>
        <v>0.60424655665421156</v>
      </c>
      <c r="AL20" s="2">
        <f t="shared" si="5"/>
        <v>0.59664219902548132</v>
      </c>
      <c r="AM20" s="2">
        <f t="shared" si="5"/>
        <v>0.58355489766594071</v>
      </c>
      <c r="AN20" s="2">
        <f t="shared" si="5"/>
        <v>0.56483319510534424</v>
      </c>
      <c r="AO20" s="2">
        <f t="shared" si="5"/>
        <v>0.54037054444092025</v>
      </c>
      <c r="AP20" s="2">
        <f t="shared" si="5"/>
        <v>0.51010709923952513</v>
      </c>
      <c r="AQ20" s="2">
        <f t="shared" si="5"/>
        <v>0.47403115978270371</v>
      </c>
      <c r="AR20" s="2">
        <f t="shared" si="5"/>
        <v>0.43218026128382725</v>
      </c>
      <c r="AS20" s="2">
        <f t="shared" si="5"/>
        <v>0.38464189221044592</v>
      </c>
      <c r="AT20" s="2">
        <f t="shared" si="5"/>
        <v>0.33155383344798944</v>
      </c>
      <c r="AU20" s="2">
        <f t="shared" si="5"/>
        <v>0.2731041117254161</v>
      </c>
      <c r="AV20" s="2">
        <f t="shared" si="5"/>
        <v>0.20953056347114335</v>
      </c>
      <c r="AW20" s="2">
        <f t="shared" si="5"/>
        <v>0.14112000805986596</v>
      </c>
    </row>
    <row r="21" spans="7:49" x14ac:dyDescent="0.25">
      <c r="G21" t="s">
        <v>17</v>
      </c>
      <c r="H21" s="6">
        <f>J17*((I20+AW20)/2+SUM(J20:AV20))</f>
        <v>0.34553015099904522</v>
      </c>
    </row>
    <row r="23" spans="7:49" x14ac:dyDescent="0.25">
      <c r="H23" s="1" t="s">
        <v>16</v>
      </c>
      <c r="I23" s="1">
        <f>2/40</f>
        <v>0.05</v>
      </c>
    </row>
    <row r="24" spans="7:49" x14ac:dyDescent="0.25">
      <c r="H24" s="3" t="s">
        <v>6</v>
      </c>
      <c r="I24" s="2">
        <v>0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>
        <v>10</v>
      </c>
      <c r="T24" s="2">
        <v>11</v>
      </c>
      <c r="U24" s="2">
        <v>12</v>
      </c>
      <c r="V24" s="2">
        <v>13</v>
      </c>
      <c r="W24" s="2">
        <v>14</v>
      </c>
      <c r="X24" s="2">
        <v>15</v>
      </c>
      <c r="Y24" s="2">
        <v>16</v>
      </c>
      <c r="Z24" s="2">
        <v>17</v>
      </c>
      <c r="AA24" s="2">
        <v>18</v>
      </c>
      <c r="AB24" s="2">
        <v>19</v>
      </c>
      <c r="AC24" s="2">
        <v>20</v>
      </c>
    </row>
    <row r="25" spans="7:49" x14ac:dyDescent="0.25">
      <c r="H25" s="3" t="s">
        <v>7</v>
      </c>
      <c r="I25" s="2">
        <v>0</v>
      </c>
      <c r="J25" s="2">
        <f>I25+$I$23</f>
        <v>0.05</v>
      </c>
      <c r="K25" s="2">
        <f t="shared" ref="K25:BQ25" si="6">J25+$I$23</f>
        <v>0.1</v>
      </c>
      <c r="L25" s="2">
        <f t="shared" si="6"/>
        <v>0.15000000000000002</v>
      </c>
      <c r="M25" s="2">
        <f t="shared" si="6"/>
        <v>0.2</v>
      </c>
      <c r="N25" s="2">
        <f t="shared" si="6"/>
        <v>0.25</v>
      </c>
      <c r="O25" s="2">
        <f t="shared" si="6"/>
        <v>0.3</v>
      </c>
      <c r="P25" s="2">
        <f t="shared" si="6"/>
        <v>0.35</v>
      </c>
      <c r="Q25" s="2">
        <f t="shared" si="6"/>
        <v>0.39999999999999997</v>
      </c>
      <c r="R25" s="2">
        <f t="shared" si="6"/>
        <v>0.44999999999999996</v>
      </c>
      <c r="S25" s="2">
        <f t="shared" si="6"/>
        <v>0.49999999999999994</v>
      </c>
      <c r="T25" s="2">
        <f t="shared" si="6"/>
        <v>0.54999999999999993</v>
      </c>
      <c r="U25" s="2">
        <f t="shared" si="6"/>
        <v>0.6</v>
      </c>
      <c r="V25" s="2">
        <f t="shared" si="6"/>
        <v>0.65</v>
      </c>
      <c r="W25" s="2">
        <f t="shared" si="6"/>
        <v>0.70000000000000007</v>
      </c>
      <c r="X25" s="2">
        <f t="shared" si="6"/>
        <v>0.75000000000000011</v>
      </c>
      <c r="Y25" s="2">
        <f t="shared" si="6"/>
        <v>0.80000000000000016</v>
      </c>
      <c r="Z25" s="2">
        <f t="shared" si="6"/>
        <v>0.8500000000000002</v>
      </c>
      <c r="AA25" s="2">
        <f t="shared" si="6"/>
        <v>0.90000000000000024</v>
      </c>
      <c r="AB25" s="2">
        <f t="shared" si="6"/>
        <v>0.95000000000000029</v>
      </c>
      <c r="AC25" s="2">
        <f t="shared" si="6"/>
        <v>1.0000000000000002</v>
      </c>
    </row>
    <row r="26" spans="7:49" x14ac:dyDescent="0.25">
      <c r="H26" s="3" t="s">
        <v>8</v>
      </c>
      <c r="I26" s="2">
        <f>I25*SIN(3*I25)</f>
        <v>0</v>
      </c>
      <c r="J26" s="2">
        <f>J25*SIN(3*J25)</f>
        <v>7.4719066236799622E-3</v>
      </c>
      <c r="K26" s="2">
        <f t="shared" ref="K26:AW26" si="7">K25*SIN(3*K25)</f>
        <v>2.9552020666133962E-2</v>
      </c>
      <c r="L26" s="2">
        <f t="shared" si="7"/>
        <v>6.5244830116684555E-2</v>
      </c>
      <c r="M26" s="2">
        <f t="shared" si="7"/>
        <v>0.1129284946790071</v>
      </c>
      <c r="N26" s="2">
        <f t="shared" si="7"/>
        <v>0.17040969000583353</v>
      </c>
      <c r="O26" s="2">
        <f t="shared" si="7"/>
        <v>0.23499807288824498</v>
      </c>
      <c r="P26" s="2">
        <f t="shared" si="7"/>
        <v>0.30359812895790589</v>
      </c>
      <c r="Q26" s="2">
        <f t="shared" si="7"/>
        <v>0.37281563438689047</v>
      </c>
      <c r="R26" s="2">
        <f t="shared" si="7"/>
        <v>0.43907551102199655</v>
      </c>
      <c r="S26" s="2">
        <f t="shared" si="7"/>
        <v>0.49874749330202717</v>
      </c>
      <c r="T26" s="2">
        <f t="shared" si="7"/>
        <v>0.5482757656496553</v>
      </c>
      <c r="U26" s="2">
        <f t="shared" si="7"/>
        <v>0.58430857852691709</v>
      </c>
      <c r="V26" s="2">
        <f t="shared" si="7"/>
        <v>0.60382381475251501</v>
      </c>
      <c r="W26" s="2">
        <f t="shared" si="7"/>
        <v>0.60424655665421168</v>
      </c>
      <c r="X26" s="2">
        <f t="shared" si="7"/>
        <v>0.58355489766594082</v>
      </c>
      <c r="Y26" s="2">
        <f t="shared" si="7"/>
        <v>0.54037054444092059</v>
      </c>
      <c r="Z26" s="2">
        <f t="shared" si="7"/>
        <v>0.47403115978270399</v>
      </c>
      <c r="AA26" s="2">
        <f t="shared" si="7"/>
        <v>0.38464189221044653</v>
      </c>
      <c r="AB26" s="2">
        <f t="shared" si="7"/>
        <v>0.27310411172541643</v>
      </c>
      <c r="AC26" s="2">
        <f t="shared" si="7"/>
        <v>0.14112000805986638</v>
      </c>
    </row>
    <row r="27" spans="7:49" x14ac:dyDescent="0.25">
      <c r="G27" t="s">
        <v>18</v>
      </c>
      <c r="H27" s="6">
        <f>I23*((I26+AC26)/2+SUM(J26:AB26))</f>
        <v>0.34508795540435327</v>
      </c>
    </row>
    <row r="31" spans="7:49" x14ac:dyDescent="0.25">
      <c r="H31" s="1" t="s">
        <v>19</v>
      </c>
      <c r="I31" s="1" t="s">
        <v>15</v>
      </c>
      <c r="J31" s="1">
        <f>1/40</f>
        <v>2.5000000000000001E-2</v>
      </c>
    </row>
    <row r="32" spans="7:49" x14ac:dyDescent="0.25">
      <c r="H32" s="3" t="s">
        <v>6</v>
      </c>
      <c r="I32" s="2">
        <v>0</v>
      </c>
      <c r="J32" s="2">
        <v>1</v>
      </c>
      <c r="K32" s="2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>
        <v>10</v>
      </c>
      <c r="T32" s="2">
        <v>11</v>
      </c>
      <c r="U32" s="2">
        <v>12</v>
      </c>
      <c r="V32" s="2">
        <v>13</v>
      </c>
      <c r="W32" s="2">
        <v>14</v>
      </c>
      <c r="X32" s="2">
        <v>15</v>
      </c>
      <c r="Y32" s="2">
        <v>16</v>
      </c>
      <c r="Z32" s="2">
        <v>17</v>
      </c>
      <c r="AA32" s="2">
        <v>18</v>
      </c>
      <c r="AB32" s="2">
        <v>19</v>
      </c>
      <c r="AC32" s="2">
        <v>20</v>
      </c>
      <c r="AD32" s="2">
        <v>21</v>
      </c>
      <c r="AE32" s="2">
        <v>22</v>
      </c>
      <c r="AF32" s="2">
        <v>23</v>
      </c>
      <c r="AG32" s="2">
        <v>24</v>
      </c>
      <c r="AH32" s="2">
        <v>25</v>
      </c>
      <c r="AI32" s="2">
        <v>26</v>
      </c>
      <c r="AJ32" s="2">
        <v>27</v>
      </c>
      <c r="AK32" s="2">
        <v>28</v>
      </c>
      <c r="AL32" s="2">
        <v>29</v>
      </c>
      <c r="AM32" s="2">
        <v>30</v>
      </c>
      <c r="AN32" s="2">
        <v>31</v>
      </c>
      <c r="AO32" s="2">
        <v>32</v>
      </c>
      <c r="AP32" s="2">
        <v>33</v>
      </c>
      <c r="AQ32" s="2">
        <v>34</v>
      </c>
      <c r="AR32" s="2">
        <v>35</v>
      </c>
      <c r="AS32" s="2">
        <v>36</v>
      </c>
      <c r="AT32" s="2">
        <v>37</v>
      </c>
      <c r="AU32" s="2">
        <v>38</v>
      </c>
      <c r="AV32" s="2">
        <v>39</v>
      </c>
      <c r="AW32" s="2">
        <v>40</v>
      </c>
    </row>
    <row r="33" spans="8:49" x14ac:dyDescent="0.25">
      <c r="H33" s="3" t="s">
        <v>7</v>
      </c>
      <c r="I33" s="2">
        <v>0</v>
      </c>
      <c r="J33" s="2">
        <f>I33+$J$17</f>
        <v>2.5000000000000001E-2</v>
      </c>
      <c r="K33" s="2">
        <f>J33+$J$17</f>
        <v>0.05</v>
      </c>
      <c r="L33" s="2">
        <f t="shared" ref="L33:AW33" si="8">K33+$J$17</f>
        <v>7.5000000000000011E-2</v>
      </c>
      <c r="M33" s="2">
        <f t="shared" si="8"/>
        <v>0.1</v>
      </c>
      <c r="N33" s="2">
        <f t="shared" si="8"/>
        <v>0.125</v>
      </c>
      <c r="O33" s="2">
        <f t="shared" si="8"/>
        <v>0.15</v>
      </c>
      <c r="P33" s="2">
        <f t="shared" si="8"/>
        <v>0.17499999999999999</v>
      </c>
      <c r="Q33" s="2">
        <f t="shared" si="8"/>
        <v>0.19999999999999998</v>
      </c>
      <c r="R33" s="2">
        <f t="shared" si="8"/>
        <v>0.22499999999999998</v>
      </c>
      <c r="S33" s="2">
        <f t="shared" si="8"/>
        <v>0.24999999999999997</v>
      </c>
      <c r="T33" s="2">
        <f t="shared" si="8"/>
        <v>0.27499999999999997</v>
      </c>
      <c r="U33" s="2">
        <f t="shared" si="8"/>
        <v>0.3</v>
      </c>
      <c r="V33" s="2">
        <f t="shared" si="8"/>
        <v>0.32500000000000001</v>
      </c>
      <c r="W33" s="2">
        <f t="shared" si="8"/>
        <v>0.35000000000000003</v>
      </c>
      <c r="X33" s="2">
        <f t="shared" si="8"/>
        <v>0.37500000000000006</v>
      </c>
      <c r="Y33" s="2">
        <f t="shared" si="8"/>
        <v>0.40000000000000008</v>
      </c>
      <c r="Z33" s="2">
        <f t="shared" si="8"/>
        <v>0.4250000000000001</v>
      </c>
      <c r="AA33" s="2">
        <f t="shared" si="8"/>
        <v>0.45000000000000012</v>
      </c>
      <c r="AB33" s="2">
        <f t="shared" si="8"/>
        <v>0.47500000000000014</v>
      </c>
      <c r="AC33" s="2">
        <f t="shared" si="8"/>
        <v>0.50000000000000011</v>
      </c>
      <c r="AD33" s="2">
        <f t="shared" si="8"/>
        <v>0.52500000000000013</v>
      </c>
      <c r="AE33" s="2">
        <f t="shared" si="8"/>
        <v>0.55000000000000016</v>
      </c>
      <c r="AF33" s="2">
        <f t="shared" si="8"/>
        <v>0.57500000000000018</v>
      </c>
      <c r="AG33" s="2">
        <f t="shared" si="8"/>
        <v>0.6000000000000002</v>
      </c>
      <c r="AH33" s="2">
        <f t="shared" si="8"/>
        <v>0.62500000000000022</v>
      </c>
      <c r="AI33" s="2">
        <f t="shared" si="8"/>
        <v>0.65000000000000024</v>
      </c>
      <c r="AJ33" s="2">
        <f t="shared" si="8"/>
        <v>0.67500000000000027</v>
      </c>
      <c r="AK33" s="2">
        <f t="shared" si="8"/>
        <v>0.70000000000000029</v>
      </c>
      <c r="AL33" s="2">
        <f t="shared" si="8"/>
        <v>0.72500000000000031</v>
      </c>
      <c r="AM33" s="2">
        <f t="shared" si="8"/>
        <v>0.75000000000000033</v>
      </c>
      <c r="AN33" s="2">
        <f t="shared" si="8"/>
        <v>0.77500000000000036</v>
      </c>
      <c r="AO33" s="2">
        <f t="shared" si="8"/>
        <v>0.80000000000000038</v>
      </c>
      <c r="AP33" s="2">
        <f t="shared" si="8"/>
        <v>0.8250000000000004</v>
      </c>
      <c r="AQ33" s="2">
        <f t="shared" si="8"/>
        <v>0.85000000000000042</v>
      </c>
      <c r="AR33" s="2">
        <f t="shared" si="8"/>
        <v>0.87500000000000044</v>
      </c>
      <c r="AS33" s="2">
        <f t="shared" si="8"/>
        <v>0.90000000000000047</v>
      </c>
      <c r="AT33" s="2">
        <f t="shared" si="8"/>
        <v>0.92500000000000049</v>
      </c>
      <c r="AU33" s="2">
        <f t="shared" si="8"/>
        <v>0.95000000000000051</v>
      </c>
      <c r="AV33" s="2">
        <f t="shared" si="8"/>
        <v>0.97500000000000053</v>
      </c>
      <c r="AW33" s="2">
        <f t="shared" si="8"/>
        <v>1.0000000000000004</v>
      </c>
    </row>
    <row r="34" spans="8:49" x14ac:dyDescent="0.25">
      <c r="H34" s="3" t="s">
        <v>8</v>
      </c>
      <c r="I34" s="2">
        <f>I33*SIN(3*I33)</f>
        <v>0</v>
      </c>
      <c r="J34" s="2">
        <f t="shared" ref="J34" si="9">J33*SIN(3*J33)</f>
        <v>1.8732426818185589E-3</v>
      </c>
      <c r="K34" s="2">
        <f t="shared" ref="K34" si="10">K33*SIN(3*K33)</f>
        <v>7.4719066236799622E-3</v>
      </c>
      <c r="L34" s="2">
        <f t="shared" ref="L34" si="11">L33*SIN(3*L33)</f>
        <v>1.6732977159880914E-2</v>
      </c>
      <c r="M34" s="2">
        <f t="shared" ref="M34" si="12">M33*SIN(3*M33)</f>
        <v>2.9552020666133962E-2</v>
      </c>
      <c r="N34" s="2">
        <f t="shared" ref="N34" si="13">N33*SIN(3*N33)</f>
        <v>4.5784066135755946E-2</v>
      </c>
      <c r="O34" s="2">
        <f t="shared" ref="O34" si="14">O33*SIN(3*O33)</f>
        <v>6.5244830116684527E-2</v>
      </c>
      <c r="P34" s="2">
        <f t="shared" ref="P34" si="15">P33*SIN(3*P33)</f>
        <v>8.7712275817914617E-2</v>
      </c>
      <c r="Q34" s="2">
        <f t="shared" ref="Q34" si="16">Q33*SIN(3*Q33)</f>
        <v>0.11292849467900706</v>
      </c>
      <c r="R34" s="2">
        <f t="shared" ref="R34" si="17">R33*SIN(3*R33)</f>
        <v>0.14060189626373243</v>
      </c>
      <c r="S34" s="2">
        <f t="shared" ref="S34" si="18">S33*SIN(3*S33)</f>
        <v>0.1704096900058335</v>
      </c>
      <c r="T34" s="2">
        <f t="shared" ref="T34" si="19">T33*SIN(3*T33)</f>
        <v>0.20200064011780908</v>
      </c>
      <c r="U34" s="2">
        <f t="shared" ref="U34" si="20">U33*SIN(3*U33)</f>
        <v>0.23499807288824498</v>
      </c>
      <c r="V34" s="2">
        <f t="shared" ref="V34" si="21">V33*SIN(3*V33)</f>
        <v>0.26900311365435875</v>
      </c>
      <c r="W34" s="2">
        <f t="shared" ref="W34" si="22">W33*SIN(3*W33)</f>
        <v>0.30359812895790594</v>
      </c>
      <c r="X34" s="2">
        <f t="shared" ref="X34" si="23">X33*SIN(3*X33)</f>
        <v>0.33835034778716078</v>
      </c>
      <c r="Y34" s="2">
        <f t="shared" ref="Y34" si="24">Y33*SIN(3*Y33)</f>
        <v>0.37281563438689064</v>
      </c>
      <c r="Z34" s="2">
        <f t="shared" ref="Z34" si="25">Z33*SIN(3*Z33)</f>
        <v>0.40654238389241915</v>
      </c>
      <c r="AA34" s="2">
        <f t="shared" ref="AA34" si="26">AA33*SIN(3*AA33)</f>
        <v>0.43907551102199671</v>
      </c>
      <c r="AB34" s="2">
        <f t="shared" ref="AB34" si="27">AB33*SIN(3*AB33)</f>
        <v>0.46996050125139044</v>
      </c>
      <c r="AC34" s="2">
        <f t="shared" ref="AC34" si="28">AC33*SIN(3*AC33)</f>
        <v>0.49874749330202733</v>
      </c>
      <c r="AD34" s="2">
        <f t="shared" ref="AD34" si="29">AD33*SIN(3*AD33)</f>
        <v>0.52499536140387182</v>
      </c>
      <c r="AE34" s="2">
        <f t="shared" ref="AE34" si="30">AE33*SIN(3*AE33)</f>
        <v>0.54827576564965552</v>
      </c>
      <c r="AF34" s="2">
        <f t="shared" ref="AF34" si="31">AF33*SIN(3*AF33)</f>
        <v>0.56817713883974696</v>
      </c>
      <c r="AG34" s="2">
        <f t="shared" ref="AG34" si="32">AG33*SIN(3*AG33)</f>
        <v>0.5843085785269172</v>
      </c>
      <c r="AH34" s="2">
        <f t="shared" ref="AH34" si="33">AH33*SIN(3*AH33)</f>
        <v>0.59630361350605876</v>
      </c>
      <c r="AI34" s="2">
        <f t="shared" ref="AI34" si="34">AI33*SIN(3*AI33)</f>
        <v>0.60382381475251512</v>
      </c>
      <c r="AJ34" s="2">
        <f t="shared" ref="AJ34" si="35">AJ33*SIN(3*AJ33)</f>
        <v>0.60656222178951469</v>
      </c>
      <c r="AK34" s="2">
        <f t="shared" ref="AK34" si="36">AK33*SIN(3*AK33)</f>
        <v>0.60424655665421156</v>
      </c>
      <c r="AL34" s="2">
        <f t="shared" ref="AL34" si="37">AL33*SIN(3*AL33)</f>
        <v>0.59664219902548132</v>
      </c>
      <c r="AM34" s="2">
        <f t="shared" ref="AM34" si="38">AM33*SIN(3*AM33)</f>
        <v>0.58355489766594071</v>
      </c>
      <c r="AN34" s="2">
        <f t="shared" ref="AN34" si="39">AN33*SIN(3*AN33)</f>
        <v>0.56483319510534424</v>
      </c>
      <c r="AO34" s="2">
        <f t="shared" ref="AO34" si="40">AO33*SIN(3*AO33)</f>
        <v>0.54037054444092025</v>
      </c>
      <c r="AP34" s="2">
        <f t="shared" ref="AP34" si="41">AP33*SIN(3*AP33)</f>
        <v>0.51010709923952513</v>
      </c>
      <c r="AQ34" s="2">
        <f t="shared" ref="AQ34" si="42">AQ33*SIN(3*AQ33)</f>
        <v>0.47403115978270371</v>
      </c>
      <c r="AR34" s="2">
        <f t="shared" ref="AR34" si="43">AR33*SIN(3*AR33)</f>
        <v>0.43218026128382725</v>
      </c>
      <c r="AS34" s="2">
        <f t="shared" ref="AS34" si="44">AS33*SIN(3*AS33)</f>
        <v>0.38464189221044592</v>
      </c>
      <c r="AT34" s="2">
        <f t="shared" ref="AT34" si="45">AT33*SIN(3*AT33)</f>
        <v>0.33155383344798944</v>
      </c>
      <c r="AU34" s="2">
        <f t="shared" ref="AU34" si="46">AU33*SIN(3*AU33)</f>
        <v>0.2731041117254161</v>
      </c>
      <c r="AV34" s="2">
        <f t="shared" ref="AV34" si="47">AV33*SIN(3*AV33)</f>
        <v>0.20953056347114335</v>
      </c>
      <c r="AW34" s="2">
        <f t="shared" ref="AW34" si="48">AW33*SIN(3*AW33)</f>
        <v>0.14112000805986596</v>
      </c>
    </row>
    <row r="36" spans="8:49" x14ac:dyDescent="0.25">
      <c r="H36" s="7" t="s">
        <v>20</v>
      </c>
      <c r="I36" cm="1">
        <f t="array" ref="I36">J31/3*(I34+AW34+2*SUMPRODUCT((MOD(COLUMN(J34:AV34)-COLUMN(J34),2)=0)*(J34:AV34))+4*SUMPRODUCT((MOD(COLUMN(J34:AV34)-COLUMN(J34),2)=1)*(J34:AV34)))</f>
        <v>0.34420675240031573</v>
      </c>
    </row>
    <row r="40" spans="8:49" x14ac:dyDescent="0.25">
      <c r="H40" s="1" t="s">
        <v>19</v>
      </c>
      <c r="I40" s="1" t="s">
        <v>15</v>
      </c>
      <c r="J40" s="1">
        <f>2/40</f>
        <v>0.05</v>
      </c>
    </row>
    <row r="41" spans="8:49" x14ac:dyDescent="0.25">
      <c r="H41" s="3" t="s">
        <v>6</v>
      </c>
      <c r="I41" s="2">
        <v>0</v>
      </c>
      <c r="J41" s="2">
        <v>1</v>
      </c>
      <c r="K41" s="2">
        <v>2</v>
      </c>
      <c r="L41" s="2">
        <v>3</v>
      </c>
      <c r="M41" s="2">
        <v>4</v>
      </c>
      <c r="N41" s="2">
        <v>5</v>
      </c>
      <c r="O41" s="2">
        <v>6</v>
      </c>
      <c r="P41" s="2">
        <v>7</v>
      </c>
      <c r="Q41" s="2">
        <v>8</v>
      </c>
      <c r="R41" s="2">
        <v>9</v>
      </c>
      <c r="S41" s="2">
        <v>10</v>
      </c>
      <c r="T41" s="2">
        <v>11</v>
      </c>
      <c r="U41" s="2">
        <v>12</v>
      </c>
      <c r="V41" s="2">
        <v>13</v>
      </c>
      <c r="W41" s="2">
        <v>14</v>
      </c>
      <c r="X41" s="2">
        <v>15</v>
      </c>
      <c r="Y41" s="2">
        <v>16</v>
      </c>
      <c r="Z41" s="2">
        <v>17</v>
      </c>
      <c r="AA41" s="2">
        <v>18</v>
      </c>
      <c r="AB41" s="2">
        <v>19</v>
      </c>
      <c r="AC41" s="2">
        <v>20</v>
      </c>
    </row>
    <row r="42" spans="8:49" x14ac:dyDescent="0.25">
      <c r="H42" s="3" t="s">
        <v>7</v>
      </c>
      <c r="I42" s="2">
        <v>0</v>
      </c>
      <c r="J42" s="2">
        <f>I42+$J$40</f>
        <v>0.05</v>
      </c>
      <c r="K42" s="2">
        <f t="shared" ref="K42:AW42" si="49">J42+$J$40</f>
        <v>0.1</v>
      </c>
      <c r="L42" s="2">
        <f t="shared" si="49"/>
        <v>0.15000000000000002</v>
      </c>
      <c r="M42" s="2">
        <f t="shared" si="49"/>
        <v>0.2</v>
      </c>
      <c r="N42" s="2">
        <f t="shared" si="49"/>
        <v>0.25</v>
      </c>
      <c r="O42" s="2">
        <f t="shared" si="49"/>
        <v>0.3</v>
      </c>
      <c r="P42" s="2">
        <f t="shared" si="49"/>
        <v>0.35</v>
      </c>
      <c r="Q42" s="2">
        <f t="shared" si="49"/>
        <v>0.39999999999999997</v>
      </c>
      <c r="R42" s="2">
        <f t="shared" si="49"/>
        <v>0.44999999999999996</v>
      </c>
      <c r="S42" s="2">
        <f t="shared" si="49"/>
        <v>0.49999999999999994</v>
      </c>
      <c r="T42" s="2">
        <f t="shared" si="49"/>
        <v>0.54999999999999993</v>
      </c>
      <c r="U42" s="2">
        <f t="shared" si="49"/>
        <v>0.6</v>
      </c>
      <c r="V42" s="2">
        <f t="shared" si="49"/>
        <v>0.65</v>
      </c>
      <c r="W42" s="2">
        <f t="shared" si="49"/>
        <v>0.70000000000000007</v>
      </c>
      <c r="X42" s="2">
        <f t="shared" si="49"/>
        <v>0.75000000000000011</v>
      </c>
      <c r="Y42" s="2">
        <f t="shared" si="49"/>
        <v>0.80000000000000016</v>
      </c>
      <c r="Z42" s="2">
        <f t="shared" si="49"/>
        <v>0.8500000000000002</v>
      </c>
      <c r="AA42" s="2">
        <f t="shared" si="49"/>
        <v>0.90000000000000024</v>
      </c>
      <c r="AB42" s="2">
        <f t="shared" si="49"/>
        <v>0.95000000000000029</v>
      </c>
      <c r="AC42" s="2">
        <f t="shared" si="49"/>
        <v>1.0000000000000002</v>
      </c>
    </row>
    <row r="43" spans="8:49" x14ac:dyDescent="0.25">
      <c r="H43" s="3" t="s">
        <v>8</v>
      </c>
      <c r="I43" s="2">
        <f>I42*SIN(3*I42)</f>
        <v>0</v>
      </c>
      <c r="J43" s="2">
        <f t="shared" ref="J43" si="50">J42*SIN(3*J42)</f>
        <v>7.4719066236799622E-3</v>
      </c>
      <c r="K43" s="2">
        <f t="shared" ref="K43" si="51">K42*SIN(3*K42)</f>
        <v>2.9552020666133962E-2</v>
      </c>
      <c r="L43" s="2">
        <f t="shared" ref="L43" si="52">L42*SIN(3*L42)</f>
        <v>6.5244830116684555E-2</v>
      </c>
      <c r="M43" s="2">
        <f t="shared" ref="M43" si="53">M42*SIN(3*M42)</f>
        <v>0.1129284946790071</v>
      </c>
      <c r="N43" s="2">
        <f t="shared" ref="N43" si="54">N42*SIN(3*N42)</f>
        <v>0.17040969000583353</v>
      </c>
      <c r="O43" s="2">
        <f t="shared" ref="O43" si="55">O42*SIN(3*O42)</f>
        <v>0.23499807288824498</v>
      </c>
      <c r="P43" s="2">
        <f t="shared" ref="P43" si="56">P42*SIN(3*P42)</f>
        <v>0.30359812895790589</v>
      </c>
      <c r="Q43" s="2">
        <f t="shared" ref="Q43" si="57">Q42*SIN(3*Q42)</f>
        <v>0.37281563438689047</v>
      </c>
      <c r="R43" s="2">
        <f t="shared" ref="R43" si="58">R42*SIN(3*R42)</f>
        <v>0.43907551102199655</v>
      </c>
      <c r="S43" s="2">
        <f t="shared" ref="S43" si="59">S42*SIN(3*S42)</f>
        <v>0.49874749330202717</v>
      </c>
      <c r="T43" s="2">
        <f t="shared" ref="T43" si="60">T42*SIN(3*T42)</f>
        <v>0.5482757656496553</v>
      </c>
      <c r="U43" s="2">
        <f t="shared" ref="U43" si="61">U42*SIN(3*U42)</f>
        <v>0.58430857852691709</v>
      </c>
      <c r="V43" s="2">
        <f t="shared" ref="V43" si="62">V42*SIN(3*V42)</f>
        <v>0.60382381475251501</v>
      </c>
      <c r="W43" s="2">
        <f t="shared" ref="W43" si="63">W42*SIN(3*W42)</f>
        <v>0.60424655665421168</v>
      </c>
      <c r="X43" s="2">
        <f t="shared" ref="X43" si="64">X42*SIN(3*X42)</f>
        <v>0.58355489766594082</v>
      </c>
      <c r="Y43" s="2">
        <f t="shared" ref="Y43" si="65">Y42*SIN(3*Y42)</f>
        <v>0.54037054444092059</v>
      </c>
      <c r="Z43" s="2">
        <f t="shared" ref="Z43" si="66">Z42*SIN(3*Z42)</f>
        <v>0.47403115978270399</v>
      </c>
      <c r="AA43" s="2">
        <f t="shared" ref="AA43" si="67">AA42*SIN(3*AA42)</f>
        <v>0.38464189221044653</v>
      </c>
      <c r="AB43" s="2">
        <f t="shared" ref="AB43" si="68">AB42*SIN(3*AB42)</f>
        <v>0.27310411172541643</v>
      </c>
      <c r="AC43" s="2">
        <f t="shared" ref="AC43" si="69">AC42*SIN(3*AC42)</f>
        <v>0.14112000805986638</v>
      </c>
    </row>
    <row r="45" spans="8:49" x14ac:dyDescent="0.25">
      <c r="H45" s="7" t="s">
        <v>20</v>
      </c>
      <c r="I45" cm="1">
        <f t="array" ref="I45">J40/3*(I43+AC43+2*SUMPRODUCT((MOD(COLUMN(J43:AC43)-COLUMN(J43),2)=0)*(J43:AC43))+4*SUMPRODUCT((MOD(COLUMN(J43:AC43)-COLUMN(J43),2)=1)*(J43:AC43)))</f>
        <v>0.35155361373205329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Force</dc:creator>
  <cp:lastModifiedBy>Force</cp:lastModifiedBy>
  <dcterms:created xsi:type="dcterms:W3CDTF">2025-05-18T11:13:32Z</dcterms:created>
  <dcterms:modified xsi:type="dcterms:W3CDTF">2025-05-18T15:24:03Z</dcterms:modified>
</cp:coreProperties>
</file>
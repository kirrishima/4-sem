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ce\Documents\University\4-sem\ЧМ\"/>
    </mc:Choice>
  </mc:AlternateContent>
  <xr:revisionPtr revIDLastSave="0" documentId="13_ncr:1_{6D774433-596A-4C42-A729-8487B4865972}" xr6:coauthVersionLast="47" xr6:coauthVersionMax="47" xr10:uidLastSave="{00000000-0000-0000-0000-000000000000}"/>
  <bookViews>
    <workbookView xWindow="-120" yWindow="-120" windowWidth="29040" windowHeight="15840" xr2:uid="{E1A4AF0B-C166-41AF-BA71-1A960B92A5D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X9" i="1"/>
  <c r="X10" i="1"/>
  <c r="X11" i="1"/>
  <c r="X8" i="1"/>
  <c r="V9" i="1"/>
  <c r="V10" i="1"/>
  <c r="V11" i="1"/>
  <c r="V8" i="1"/>
  <c r="W8" i="1"/>
  <c r="N10" i="1"/>
  <c r="N11" i="1"/>
  <c r="N12" i="1"/>
  <c r="N9" i="1"/>
  <c r="B23" i="1"/>
  <c r="F23" i="1" s="1"/>
  <c r="N27" i="1"/>
  <c r="O27" i="1" s="1"/>
  <c r="R27" i="1"/>
  <c r="Q26" i="1"/>
  <c r="N24" i="1"/>
  <c r="N23" i="1"/>
  <c r="S2" i="1" a="1"/>
  <c r="S2" i="1" s="1"/>
  <c r="U2" i="1" s="1"/>
  <c r="C8" i="1" a="1"/>
  <c r="C8" i="1" s="1"/>
  <c r="D6" i="1" a="1"/>
  <c r="D6" i="1" s="1"/>
  <c r="E6" i="1" a="1"/>
  <c r="E6" i="1" s="1"/>
  <c r="F6" i="1" a="1"/>
  <c r="F6" i="1"/>
  <c r="C6" i="1" a="1"/>
  <c r="C6" i="1" s="1"/>
  <c r="H2" i="1"/>
  <c r="F12" i="1" a="1"/>
  <c r="F12" i="1" s="1"/>
  <c r="O23" i="1"/>
  <c r="D23" i="1"/>
  <c r="E23" i="1"/>
  <c r="I23" i="1" s="1"/>
  <c r="C23" i="1"/>
  <c r="A17" i="1" a="1"/>
  <c r="A17" i="1" s="1"/>
  <c r="A16" i="1" a="1"/>
  <c r="A16" i="1" s="1"/>
  <c r="A15" i="1" a="1"/>
  <c r="A15" i="1" s="1"/>
  <c r="A14" i="1" a="1"/>
  <c r="A14" i="1" s="1"/>
  <c r="C18" i="1" a="1"/>
  <c r="C18" i="1" s="1"/>
  <c r="D18" i="1" a="1"/>
  <c r="D18" i="1" s="1"/>
  <c r="E18" i="1" a="1"/>
  <c r="E18" i="1"/>
  <c r="B18" i="1" a="1"/>
  <c r="B18" i="1" s="1"/>
  <c r="B8" i="1" a="1"/>
  <c r="U4" i="1" l="1"/>
  <c r="U3" i="1"/>
  <c r="U5" i="1"/>
  <c r="E24" i="1"/>
  <c r="I24" i="1" s="1"/>
  <c r="S27" i="1"/>
  <c r="P27" i="1"/>
  <c r="B8" i="1"/>
  <c r="D12" i="1" a="1"/>
  <c r="D12" i="1" s="1"/>
  <c r="C12" i="1" a="1"/>
  <c r="C12" i="1" s="1"/>
  <c r="E12" i="1" a="1"/>
  <c r="E12" i="1" s="1"/>
  <c r="R23" i="1"/>
  <c r="S23" i="1"/>
  <c r="P23" i="1"/>
  <c r="Q23" i="1" s="1"/>
  <c r="H23" i="1"/>
  <c r="G23" i="1"/>
  <c r="D24" i="1"/>
  <c r="C24" i="1"/>
  <c r="B24" i="1"/>
  <c r="K23" i="1" l="1"/>
  <c r="H24" i="1"/>
  <c r="B25" i="1"/>
  <c r="C25" i="1"/>
  <c r="D25" i="1"/>
  <c r="E25" i="1"/>
  <c r="I25" i="1" s="1"/>
  <c r="F25" i="1"/>
  <c r="T27" i="1"/>
  <c r="Q27" i="1"/>
  <c r="G12" i="1"/>
  <c r="T23" i="1"/>
  <c r="J23" i="1"/>
  <c r="F24" i="1"/>
  <c r="G24" i="1"/>
  <c r="E26" i="1" l="1"/>
  <c r="C26" i="1"/>
  <c r="H25" i="1"/>
  <c r="I26" i="1"/>
  <c r="D26" i="1"/>
  <c r="B26" i="1"/>
  <c r="G26" i="1"/>
  <c r="G25" i="1"/>
  <c r="K25" i="1" s="1"/>
  <c r="U27" i="1"/>
  <c r="N28" i="1"/>
  <c r="O24" i="1"/>
  <c r="R24" i="1"/>
  <c r="U23" i="1"/>
  <c r="V23" i="1" s="1"/>
  <c r="J24" i="1"/>
  <c r="K24" i="1"/>
  <c r="J25" i="1" l="1"/>
  <c r="E27" i="1"/>
  <c r="B27" i="1"/>
  <c r="H26" i="1"/>
  <c r="D27" i="1"/>
  <c r="H27" i="1" s="1"/>
  <c r="C27" i="1"/>
  <c r="G27" i="1" s="1"/>
  <c r="F27" i="1"/>
  <c r="F26" i="1"/>
  <c r="I27" i="1"/>
  <c r="W27" i="1"/>
  <c r="V27" i="1"/>
  <c r="O28" i="1"/>
  <c r="R28" i="1"/>
  <c r="S24" i="1"/>
  <c r="P24" i="1"/>
  <c r="Q24" i="1" s="1"/>
  <c r="U24" i="1" s="1"/>
  <c r="W23" i="1"/>
  <c r="J26" i="1" l="1"/>
  <c r="K26" i="1"/>
  <c r="K27" i="1"/>
  <c r="J27" i="1"/>
  <c r="S28" i="1"/>
  <c r="P28" i="1"/>
  <c r="N25" i="1"/>
  <c r="T24" i="1"/>
  <c r="R25" i="1"/>
  <c r="O25" i="1"/>
  <c r="T28" i="1" l="1"/>
  <c r="Q28" i="1"/>
  <c r="W24" i="1"/>
  <c r="V24" i="1"/>
  <c r="P25" i="1"/>
  <c r="T25" i="1" s="1"/>
  <c r="Q25" i="1"/>
  <c r="U25" i="1" s="1"/>
  <c r="S25" i="1"/>
  <c r="U28" i="1" l="1"/>
  <c r="N26" i="1"/>
  <c r="W25" i="1"/>
  <c r="V25" i="1"/>
  <c r="O26" i="1"/>
  <c r="R26" i="1"/>
  <c r="V28" i="1" l="1"/>
  <c r="W28" i="1"/>
  <c r="P26" i="1"/>
  <c r="S26" i="1"/>
  <c r="U26" i="1" l="1"/>
  <c r="T26" i="1"/>
  <c r="V26" i="1" l="1"/>
  <c r="W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<sst xmlns="http://schemas.openxmlformats.org/spreadsheetml/2006/main" count="39" uniqueCount="23">
  <si>
    <t>опр</t>
  </si>
  <si>
    <t>обратная</t>
  </si>
  <si>
    <t>исходная</t>
  </si>
  <si>
    <t>C</t>
  </si>
  <si>
    <t>D</t>
  </si>
  <si>
    <t>k</t>
  </si>
  <si>
    <t>x1</t>
  </si>
  <si>
    <t>x2</t>
  </si>
  <si>
    <t>x3</t>
  </si>
  <si>
    <t>x4</t>
  </si>
  <si>
    <t>d1</t>
  </si>
  <si>
    <t>d2</t>
  </si>
  <si>
    <t>d3</t>
  </si>
  <si>
    <t>d4</t>
  </si>
  <si>
    <t>max d</t>
  </si>
  <si>
    <t>sum d</t>
  </si>
  <si>
    <t>b</t>
  </si>
  <si>
    <t>A</t>
  </si>
  <si>
    <t>X^k</t>
  </si>
  <si>
    <t>AX^k</t>
  </si>
  <si>
    <t>b-AX^k</t>
  </si>
  <si>
    <t>порешность</t>
  </si>
  <si>
    <t>точное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</si>
</sst>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04F0-D283-46CB-BC82-6523A7037B1E}">
  <dimension ref="A1:Y28"/>
  <sheetViews>
    <sheetView tabSelected="1" zoomScale="142" workbookViewId="0">
      <selection activeCell="H4" sqref="H4"/>
    </sheetView>
  </sheetViews>
  <sheetFormatPr defaultRowHeight="15" x14ac:dyDescent="0.25"/>
  <cols>
    <col min="8" max="8" width="9.140625" customWidth="1"/>
    <col min="11" max="11" width="10" customWidth="1"/>
    <col min="22" max="22" width="10" customWidth="1"/>
  </cols>
  <sheetData>
    <row r="1" spans="1:25" x14ac:dyDescent="0.25">
      <c r="B1" t="s">
        <v>2</v>
      </c>
      <c r="J1" t="s">
        <v>16</v>
      </c>
      <c r="M1" t="s">
        <v>17</v>
      </c>
      <c r="Q1" t="s">
        <v>18</v>
      </c>
      <c r="S1" t="s">
        <v>19</v>
      </c>
      <c r="U1" t="s">
        <v>20</v>
      </c>
    </row>
    <row r="2" spans="1:25" x14ac:dyDescent="0.25">
      <c r="B2">
        <v>10.9</v>
      </c>
      <c r="C2" s="17">
        <v>10.9</v>
      </c>
      <c r="D2" s="17">
        <v>1.2</v>
      </c>
      <c r="E2" s="17">
        <v>2.1</v>
      </c>
      <c r="F2" s="17">
        <v>0.9</v>
      </c>
      <c r="G2" t="s">
        <v>0</v>
      </c>
      <c r="H2">
        <f>MDETERM(C2:F5)</f>
        <v>-14452.752099999998</v>
      </c>
      <c r="J2">
        <v>10.23</v>
      </c>
      <c r="L2">
        <v>1.2</v>
      </c>
      <c r="M2">
        <v>11.2</v>
      </c>
      <c r="N2">
        <v>1.5</v>
      </c>
      <c r="O2">
        <v>2.5</v>
      </c>
      <c r="Q2">
        <v>-0.96462999999999999</v>
      </c>
      <c r="S2" cm="1">
        <f t="array" ref="S2:S5">MMULT(L2:O5,Q2:Q5)</f>
        <v>10.231228399999999</v>
      </c>
      <c r="U2">
        <f>J2-S2</f>
        <v>-1.2283999999986861E-3</v>
      </c>
    </row>
    <row r="3" spans="1:25" x14ac:dyDescent="0.25">
      <c r="B3">
        <v>1.2</v>
      </c>
      <c r="C3" s="17">
        <v>1.2</v>
      </c>
      <c r="D3" s="17">
        <v>11.2</v>
      </c>
      <c r="E3" s="17">
        <v>1.5</v>
      </c>
      <c r="F3" s="17">
        <v>2.5</v>
      </c>
      <c r="H3">
        <f>MDETERM(C2:F5)</f>
        <v>-14452.752099999998</v>
      </c>
      <c r="J3">
        <v>-12.93</v>
      </c>
      <c r="L3">
        <v>10.9</v>
      </c>
      <c r="M3">
        <v>-1.2</v>
      </c>
      <c r="N3">
        <v>2.1</v>
      </c>
      <c r="O3">
        <v>0.9</v>
      </c>
      <c r="Q3">
        <v>1.396007</v>
      </c>
      <c r="S3">
        <v>-12.928267000000002</v>
      </c>
      <c r="U3">
        <f t="shared" ref="U3:U5" si="0">J3-S3</f>
        <v>-1.7329999999979862E-3</v>
      </c>
    </row>
    <row r="4" spans="1:25" x14ac:dyDescent="0.25">
      <c r="B4">
        <v>2.1</v>
      </c>
      <c r="C4" s="17">
        <v>2.1</v>
      </c>
      <c r="D4" s="17">
        <v>1.5</v>
      </c>
      <c r="E4" s="17">
        <v>-9.8000000000000007</v>
      </c>
      <c r="F4" s="17">
        <v>1.3</v>
      </c>
      <c r="J4">
        <v>-20.95</v>
      </c>
      <c r="L4">
        <v>0.9</v>
      </c>
      <c r="M4">
        <v>2.5</v>
      </c>
      <c r="N4">
        <v>1.3</v>
      </c>
      <c r="O4">
        <v>12.1</v>
      </c>
      <c r="Q4">
        <v>0.50650399999999995</v>
      </c>
      <c r="S4">
        <v>-20.949944299999999</v>
      </c>
      <c r="U4">
        <f t="shared" si="0"/>
        <v>-5.5700000000769023E-5</v>
      </c>
    </row>
    <row r="5" spans="1:25" x14ac:dyDescent="0.25">
      <c r="B5">
        <v>0.9</v>
      </c>
      <c r="C5" s="17">
        <v>0.9</v>
      </c>
      <c r="D5" s="17">
        <v>2.5</v>
      </c>
      <c r="E5" s="17">
        <v>1.3</v>
      </c>
      <c r="F5" s="17">
        <v>12.1</v>
      </c>
      <c r="J5">
        <v>-7.5</v>
      </c>
      <c r="L5">
        <v>2.1</v>
      </c>
      <c r="M5">
        <v>1.5</v>
      </c>
      <c r="N5">
        <v>-9.8000000000000007</v>
      </c>
      <c r="O5">
        <v>1.3</v>
      </c>
      <c r="Q5">
        <v>-2.0024999999999999</v>
      </c>
      <c r="S5">
        <v>-7.4987017000000007</v>
      </c>
      <c r="U5">
        <f t="shared" si="0"/>
        <v>-1.2982999999993083E-3</v>
      </c>
    </row>
    <row r="6" spans="1:25" x14ac:dyDescent="0.25">
      <c r="C6" cm="1">
        <f t="array" ref="C6">SUM((ABS(C2:C5)))</f>
        <v>15.1</v>
      </c>
      <c r="D6" cm="1">
        <f t="array" ref="D6">SUM((ABS(D2:D5)))</f>
        <v>16.399999999999999</v>
      </c>
      <c r="E6" cm="1">
        <f t="array" ref="E6">SUM((ABS(E2:E5)))</f>
        <v>14.700000000000001</v>
      </c>
      <c r="F6" cm="1">
        <f t="array" ref="F6">SUM((ABS(F2:F5)))</f>
        <v>16.8</v>
      </c>
    </row>
    <row r="7" spans="1:25" x14ac:dyDescent="0.25">
      <c r="B7" t="s">
        <v>1</v>
      </c>
    </row>
    <row r="8" spans="1:25" x14ac:dyDescent="0.25">
      <c r="B8" t="e" cm="1">
        <f t="array" ref="B8">MINVERSE(B2:F5)</f>
        <v>#VALUE!</v>
      </c>
      <c r="C8" s="16" cm="1">
        <f t="array" ref="C8:F11">MINVERSE(C2:F5)</f>
        <v>9.0173068145270416E-2</v>
      </c>
      <c r="D8" s="16">
        <v>-1.0503812626800675E-2</v>
      </c>
      <c r="E8" s="16">
        <v>1.6872772625775544E-2</v>
      </c>
      <c r="F8" s="16">
        <v>-6.3496557171280905E-3</v>
      </c>
      <c r="L8" t="s">
        <v>22</v>
      </c>
      <c r="N8" t="s">
        <v>21</v>
      </c>
      <c r="R8" t="s">
        <v>6</v>
      </c>
      <c r="S8" t="s">
        <v>7</v>
      </c>
      <c r="T8" t="s">
        <v>8</v>
      </c>
      <c r="U8" t="s">
        <v>9</v>
      </c>
      <c r="V8">
        <f>$R$9*C2+$S$9*D2+$T$9*E2+$U$9*F2</f>
        <v>-9.9700000000000006</v>
      </c>
      <c r="W8">
        <f>J3</f>
        <v>-12.93</v>
      </c>
      <c r="X8" s="1">
        <f>$R$9*L2+$S$9*M2+$T$9*N2+$U$9*O2</f>
        <v>10.229999999999999</v>
      </c>
      <c r="Y8" s="1">
        <v>10.23</v>
      </c>
    </row>
    <row r="9" spans="1:25" x14ac:dyDescent="0.25">
      <c r="C9" s="16">
        <v>-1.0503812626800675E-2</v>
      </c>
      <c r="D9" s="16">
        <v>9.350828068240373E-2</v>
      </c>
      <c r="E9" s="16">
        <v>9.467539403792859E-3</v>
      </c>
      <c r="F9" s="16">
        <v>-1.9555791038580125E-2</v>
      </c>
      <c r="L9">
        <v>-1</v>
      </c>
      <c r="N9">
        <f>ABS(L9-Q2)</f>
        <v>3.5370000000000013E-2</v>
      </c>
      <c r="R9">
        <v>-1</v>
      </c>
      <c r="S9">
        <v>1.4</v>
      </c>
      <c r="T9">
        <v>0.5</v>
      </c>
      <c r="U9">
        <v>-2</v>
      </c>
      <c r="V9">
        <f t="shared" ref="V9:V11" si="1">$R$9*C3+$S$9*D3+$T$9*E3+$U$9*F3</f>
        <v>10.229999999999999</v>
      </c>
      <c r="W9">
        <v>10.23</v>
      </c>
      <c r="X9" s="1">
        <f>$R$9*L3+$S$9*M3+$T$9*N3+$U$9*O3</f>
        <v>-13.33</v>
      </c>
      <c r="Y9" s="1">
        <v>-12.93</v>
      </c>
    </row>
    <row r="10" spans="1:25" x14ac:dyDescent="0.25">
      <c r="C10" s="16">
        <v>1.6872772625775547E-2</v>
      </c>
      <c r="D10" s="16">
        <v>9.467539403792859E-3</v>
      </c>
      <c r="E10" s="16">
        <v>-9.6033405291716029E-2</v>
      </c>
      <c r="F10" s="16">
        <v>7.1065357856653485E-3</v>
      </c>
      <c r="L10">
        <v>1.4</v>
      </c>
      <c r="N10">
        <f t="shared" ref="N10:N12" si="2">ABS(L10-Q3)</f>
        <v>3.9929999999999133E-3</v>
      </c>
      <c r="V10">
        <f t="shared" si="1"/>
        <v>-7.5</v>
      </c>
      <c r="W10">
        <v>-7.5</v>
      </c>
      <c r="X10" s="1">
        <f t="shared" ref="X9:X11" si="3">$R$9*L4+$S$9*M4+$T$9*N4+$U$9*O4</f>
        <v>-20.95</v>
      </c>
      <c r="Y10" s="1">
        <v>-20.95</v>
      </c>
    </row>
    <row r="11" spans="1:25" x14ac:dyDescent="0.25">
      <c r="C11" s="16">
        <v>-6.3496557171280913E-3</v>
      </c>
      <c r="D11" s="16">
        <v>-1.9555791038580121E-2</v>
      </c>
      <c r="E11" s="16">
        <v>7.1065357856653485E-3</v>
      </c>
      <c r="F11" s="16">
        <v>8.6393857125661222E-2</v>
      </c>
      <c r="L11">
        <v>0.5</v>
      </c>
      <c r="N11">
        <f t="shared" si="2"/>
        <v>6.5039999999999543E-3</v>
      </c>
      <c r="V11">
        <f t="shared" si="1"/>
        <v>-20.95</v>
      </c>
      <c r="W11">
        <v>-20.95</v>
      </c>
      <c r="X11" s="1">
        <f t="shared" si="3"/>
        <v>-7.5</v>
      </c>
      <c r="Y11" s="1">
        <v>-7.5</v>
      </c>
    </row>
    <row r="12" spans="1:25" x14ac:dyDescent="0.25">
      <c r="C12" cm="1">
        <f t="array" ref="C12">SUM((ABS(C8:C11)))</f>
        <v>0.12389930911497474</v>
      </c>
      <c r="D12" cm="1">
        <f t="array" ref="D12">SUM((ABS(D8:D11)))</f>
        <v>0.1330354237515774</v>
      </c>
      <c r="E12" cm="1">
        <f t="array" ref="E12">SUM((ABS(E8:E11)))</f>
        <v>0.12948025310694977</v>
      </c>
      <c r="F12" cm="1">
        <f t="array" ref="F12">SUM((ABS(F8:F11)))</f>
        <v>0.11940583966703479</v>
      </c>
      <c r="G12">
        <f>MAX(C12:F12)</f>
        <v>0.1330354237515774</v>
      </c>
      <c r="L12">
        <v>-2</v>
      </c>
      <c r="N12">
        <f t="shared" si="2"/>
        <v>2.4999999999999467E-3</v>
      </c>
    </row>
    <row r="13" spans="1:25" x14ac:dyDescent="0.25">
      <c r="B13" t="s">
        <v>3</v>
      </c>
      <c r="C13" t="s">
        <v>3</v>
      </c>
      <c r="F13" t="s">
        <v>4</v>
      </c>
    </row>
    <row r="14" spans="1:25" x14ac:dyDescent="0.25">
      <c r="A14" cm="1">
        <f t="array" ref="A14">SUM(ABS(B14:E14))</f>
        <v>0.38530000000000003</v>
      </c>
      <c r="B14" s="2">
        <v>0</v>
      </c>
      <c r="C14" s="3">
        <v>-0.11</v>
      </c>
      <c r="D14" s="3">
        <v>-0.19270000000000001</v>
      </c>
      <c r="E14" s="4">
        <v>-8.2600000000000007E-2</v>
      </c>
      <c r="F14" s="1">
        <v>1.1861999999999999</v>
      </c>
    </row>
    <row r="15" spans="1:25" x14ac:dyDescent="0.25">
      <c r="A15" cm="1">
        <f t="array" ref="A15">SUM(ABS(B15:E15))</f>
        <v>0.46389999999999998</v>
      </c>
      <c r="B15" s="5">
        <v>-0.107</v>
      </c>
      <c r="C15" s="6">
        <v>0</v>
      </c>
      <c r="D15" s="6">
        <v>-0.13389999999999999</v>
      </c>
      <c r="E15" s="7">
        <v>-0.223</v>
      </c>
      <c r="F15" s="1">
        <v>0.91339999999999999</v>
      </c>
    </row>
    <row r="16" spans="1:25" x14ac:dyDescent="0.25">
      <c r="A16" cm="1">
        <f t="array" ref="A16">SUM(ABS(B16:E16))</f>
        <v>0.49970000000000003</v>
      </c>
      <c r="B16" s="5">
        <v>0.214</v>
      </c>
      <c r="C16" s="6">
        <v>0.153</v>
      </c>
      <c r="D16" s="6">
        <v>0</v>
      </c>
      <c r="E16" s="7">
        <v>0.13270000000000001</v>
      </c>
      <c r="F16" s="1">
        <v>0.76529999999999998</v>
      </c>
    </row>
    <row r="17" spans="1:23" x14ac:dyDescent="0.25">
      <c r="A17" cm="1">
        <f t="array" ref="A17">SUM(ABS(B17:E17))</f>
        <v>0.38838</v>
      </c>
      <c r="B17" s="8">
        <v>-7.4380000000000002E-2</v>
      </c>
      <c r="C17" s="9">
        <v>-0.20660000000000001</v>
      </c>
      <c r="D17" s="9">
        <v>-0.1074</v>
      </c>
      <c r="E17" s="10">
        <v>0</v>
      </c>
      <c r="F17" s="1">
        <v>-1.7314000000000001</v>
      </c>
    </row>
    <row r="18" spans="1:23" x14ac:dyDescent="0.25">
      <c r="B18" cm="1">
        <f t="array" ref="B18">SUM(ABS(B14:B17))</f>
        <v>0.39538000000000001</v>
      </c>
      <c r="C18" cm="1">
        <f t="array" ref="C18">SUM(ABS(C14:C17))</f>
        <v>0.46960000000000002</v>
      </c>
      <c r="D18" cm="1">
        <f t="array" ref="D18">SUM(ABS(D14:D17))</f>
        <v>0.434</v>
      </c>
      <c r="E18" cm="1">
        <f t="array" ref="E18">SUM(ABS(E14:E17))</f>
        <v>0.43830000000000002</v>
      </c>
    </row>
    <row r="21" spans="1:23" x14ac:dyDescent="0.25">
      <c r="A21" s="11" t="s">
        <v>5</v>
      </c>
      <c r="B21" s="11" t="s">
        <v>6</v>
      </c>
      <c r="C21" s="11" t="s">
        <v>7</v>
      </c>
      <c r="D21" s="11" t="s">
        <v>8</v>
      </c>
      <c r="E21" s="11" t="s">
        <v>9</v>
      </c>
      <c r="F21" s="11" t="s">
        <v>10</v>
      </c>
      <c r="G21" s="11" t="s">
        <v>11</v>
      </c>
      <c r="H21" s="11" t="s">
        <v>12</v>
      </c>
      <c r="I21" s="11" t="s">
        <v>13</v>
      </c>
      <c r="J21" s="11" t="s">
        <v>14</v>
      </c>
      <c r="K21" s="11" t="s">
        <v>15</v>
      </c>
      <c r="M21" s="11" t="s">
        <v>5</v>
      </c>
      <c r="N21" s="11" t="s">
        <v>6</v>
      </c>
      <c r="O21" s="11" t="s">
        <v>7</v>
      </c>
      <c r="P21" s="11" t="s">
        <v>8</v>
      </c>
      <c r="Q21" s="11" t="s">
        <v>9</v>
      </c>
      <c r="R21" s="11" t="s">
        <v>10</v>
      </c>
      <c r="S21" s="11" t="s">
        <v>11</v>
      </c>
      <c r="T21" s="11" t="s">
        <v>12</v>
      </c>
      <c r="U21" s="11" t="s">
        <v>13</v>
      </c>
      <c r="V21" s="11" t="s">
        <v>14</v>
      </c>
      <c r="W21" s="11" t="s">
        <v>15</v>
      </c>
    </row>
    <row r="22" spans="1:23" x14ac:dyDescent="0.25">
      <c r="A22" s="12">
        <v>0</v>
      </c>
      <c r="B22" s="13">
        <v>1.1861999999999999</v>
      </c>
      <c r="C22" s="13">
        <v>0.91339999999999999</v>
      </c>
      <c r="D22" s="13">
        <v>0.76529999999999998</v>
      </c>
      <c r="E22" s="13">
        <v>-1.7314000000000001</v>
      </c>
      <c r="F22" s="14"/>
      <c r="G22" s="14"/>
      <c r="H22" s="14"/>
      <c r="I22" s="14"/>
      <c r="J22" s="15"/>
      <c r="K22" s="15"/>
      <c r="M22" s="12">
        <v>0</v>
      </c>
      <c r="N22" s="13">
        <v>0</v>
      </c>
      <c r="O22" s="13">
        <v>0</v>
      </c>
      <c r="P22" s="13">
        <v>0</v>
      </c>
      <c r="Q22" s="13">
        <v>0</v>
      </c>
      <c r="R22" s="14"/>
      <c r="S22" s="14"/>
      <c r="T22" s="14"/>
      <c r="U22" s="14"/>
      <c r="V22" s="15"/>
      <c r="W22" s="15"/>
    </row>
    <row r="23" spans="1:23" x14ac:dyDescent="0.25">
      <c r="A23" s="12">
        <v>1</v>
      </c>
      <c r="B23" s="13">
        <f>(-12.93+1.2*C22-2.1*D22-0.9*E22)/10.9</f>
        <v>-1.090164220183486</v>
      </c>
      <c r="C23" s="13">
        <f>(10.23-1.2*B22-1.5*D22-2.5*E22)/11.2</f>
        <v>1.0702776785714287</v>
      </c>
      <c r="D23" s="13">
        <f>(-7.5-2.1*B22-1.5*C22-1.3*E22)/(-9.8)</f>
        <v>0.92962244897959168</v>
      </c>
      <c r="E23" s="13">
        <f>(-20.95+0.9*B22-2.5*C22-1.3*D22)/12.1</f>
        <v>-1.9141165289256201</v>
      </c>
      <c r="F23" s="14">
        <f>ABS(B22-B23)</f>
        <v>2.2763642201834857</v>
      </c>
      <c r="G23" s="14">
        <f t="shared" ref="G23:I23" si="4">ABS(C22-C23)</f>
        <v>0.15687767857142876</v>
      </c>
      <c r="H23" s="14">
        <f t="shared" si="4"/>
        <v>0.1643224489795917</v>
      </c>
      <c r="I23" s="14">
        <f t="shared" si="4"/>
        <v>0.18271652892562007</v>
      </c>
      <c r="J23" s="15">
        <f>MAX(F23:I23)</f>
        <v>2.2763642201834857</v>
      </c>
      <c r="K23" s="15">
        <f>SUM(F23:I23)</f>
        <v>2.7802808766601261</v>
      </c>
      <c r="M23" s="12">
        <v>1</v>
      </c>
      <c r="N23" s="13">
        <f>(-12.93+1.2*O22-2.1*P22-0.9*Q22)/10.9</f>
        <v>-1.1862385321100917</v>
      </c>
      <c r="O23" s="13">
        <f>(10.23-1.2*N23-1.5*P22-2.5*Q22)/11.2</f>
        <v>1.0404898427260814</v>
      </c>
      <c r="P23" s="13">
        <f>(-7.5-2.1*N23-1.5*O23-1.3*Q22)/(-9.8)</f>
        <v>0.67037080067938049</v>
      </c>
      <c r="Q23" s="13">
        <f>(-20.95+0.9*N23-2.5*O23-1.3*P23)/12.1</f>
        <v>-2.1066381261650813</v>
      </c>
      <c r="R23" s="14">
        <f>ABS(N22-N23)</f>
        <v>1.1862385321100917</v>
      </c>
      <c r="S23" s="14">
        <f t="shared" ref="S23" si="5">ABS(O22-O23)</f>
        <v>1.0404898427260814</v>
      </c>
      <c r="T23" s="14">
        <f t="shared" ref="T23" si="6">ABS(P22-P23)</f>
        <v>0.67037080067938049</v>
      </c>
      <c r="U23" s="14">
        <f t="shared" ref="U23" si="7">ABS(Q22-Q23)</f>
        <v>2.1066381261650813</v>
      </c>
      <c r="V23" s="15">
        <f>MAX(R23:U23)</f>
        <v>2.1066381261650813</v>
      </c>
      <c r="W23" s="15">
        <f>SUM(R23:U23)</f>
        <v>5.0037373016806352</v>
      </c>
    </row>
    <row r="24" spans="1:23" x14ac:dyDescent="0.25">
      <c r="A24" s="12">
        <v>2</v>
      </c>
      <c r="B24" s="13">
        <f>(-12.93-1.2*C23-2.1*D23-0.9*E23)/10.9</f>
        <v>-1.3251225212027338</v>
      </c>
      <c r="C24" s="13">
        <f>(10.23-1.2*B23-1.5*D23-2.5*E23)/11.2</f>
        <v>1.3329513136665041</v>
      </c>
      <c r="D24" s="13">
        <f>(-7.5-2.1*B23-1.5*C23-1.3*E23)/(-9.8)</f>
        <v>0.4416040987620935</v>
      </c>
      <c r="E24" s="13">
        <f>(-20.95-0.9*B23-2.5*C23-1.3*D23)/12.1</f>
        <v>-1.9713269075980915</v>
      </c>
      <c r="F24" s="14">
        <f>ABS(B23-B24)</f>
        <v>0.23495830101924775</v>
      </c>
      <c r="G24" s="14">
        <f t="shared" ref="G24" si="8">ABS(C23-C24)</f>
        <v>0.26267363509507535</v>
      </c>
      <c r="H24" s="14">
        <f t="shared" ref="H24" si="9">ABS(D23-D24)</f>
        <v>0.48801835021749818</v>
      </c>
      <c r="I24" s="14">
        <f t="shared" ref="I24" si="10">ABS(E23-E24)</f>
        <v>5.7210378672471363E-2</v>
      </c>
      <c r="J24" s="15">
        <f>MAX(F24:I24)</f>
        <v>0.48801835021749818</v>
      </c>
      <c r="K24" s="15">
        <f t="shared" ref="K24:K36" si="11">SUM(F24:I24)</f>
        <v>1.0428606650042926</v>
      </c>
      <c r="M24" s="12">
        <v>2</v>
      </c>
      <c r="N24" s="13">
        <f t="shared" ref="N24:N57" si="12">(-12.93+1.2*O23-2.1*P23-0.9*Q23)/10.9</f>
        <v>-1.0269006015235622</v>
      </c>
      <c r="O24" s="13">
        <f t="shared" ref="O24:O36" si="13">(10.23-1.2*N24-1.5*P23-2.5*Q23)/11.2</f>
        <v>1.4038678425198132</v>
      </c>
      <c r="P24" s="13">
        <f t="shared" ref="P24:P36" si="14">(-7.5-2.1*N24-1.5*O24-1.3*Q23)/(-9.8)</f>
        <v>0.48068172822098304</v>
      </c>
      <c r="Q24" s="13">
        <f t="shared" ref="Q24:Q36" si="15">(-20.95+0.9*N24-2.5*O24-1.3*P24)/12.1</f>
        <v>-2.1494848259800015</v>
      </c>
      <c r="R24" s="14">
        <f t="shared" ref="R24:R36" si="16">ABS(N23-N24)</f>
        <v>0.15933793058652945</v>
      </c>
      <c r="S24" s="14">
        <f t="shared" ref="S24:S36" si="17">ABS(O23-O24)</f>
        <v>0.36337799979373187</v>
      </c>
      <c r="T24" s="14">
        <f t="shared" ref="T24:T36" si="18">ABS(P23-P24)</f>
        <v>0.18968907245839745</v>
      </c>
      <c r="U24" s="14">
        <f t="shared" ref="U24:U36" si="19">ABS(Q23-Q24)</f>
        <v>4.2846699814920175E-2</v>
      </c>
      <c r="V24" s="15">
        <f t="shared" ref="V24:V36" si="20">MAX(R24:U24)</f>
        <v>0.36337799979373187</v>
      </c>
      <c r="W24" s="15">
        <f t="shared" ref="W24:W36" si="21">SUM(R24:U24)</f>
        <v>0.75525170265357899</v>
      </c>
    </row>
    <row r="25" spans="1:23" x14ac:dyDescent="0.25">
      <c r="A25" s="12">
        <v>3</v>
      </c>
      <c r="B25" s="13">
        <f t="shared" ref="B25:B36" si="22">(-12.93-1.2*C24-2.1*D24-0.9*E24)/10.9</f>
        <v>-1.2552950428405429</v>
      </c>
      <c r="C25" s="13">
        <f t="shared" ref="C25:C36" si="23">(10.23-1.2*B24-1.5*D24-2.5*E24)/11.2</f>
        <v>1.4362551916335153</v>
      </c>
      <c r="D25" s="13">
        <f t="shared" ref="D25:D36" si="24">(-7.5-2.1*B24-1.5*C24-1.3*E24)/(-9.8)</f>
        <v>0.42387190776494865</v>
      </c>
      <c r="E25" s="13">
        <f t="shared" ref="E25:E36" si="25">(-20.95-0.9*B24-2.5*C24-1.3*D24)/12.1</f>
        <v>-1.9556903589648365</v>
      </c>
      <c r="F25" s="14">
        <f t="shared" ref="F25:F36" si="26">ABS(B24-B25)</f>
        <v>6.9827478362190831E-2</v>
      </c>
      <c r="G25" s="14">
        <f t="shared" ref="G25:G36" si="27">ABS(C24-C25)</f>
        <v>0.10330387796701124</v>
      </c>
      <c r="H25" s="14">
        <f t="shared" ref="H25:H36" si="28">ABS(D24-D25)</f>
        <v>1.7732190997144848E-2</v>
      </c>
      <c r="I25" s="14">
        <f t="shared" ref="I25:I36" si="29">ABS(E24-E25)</f>
        <v>1.5636548633255032E-2</v>
      </c>
      <c r="J25" s="15">
        <f t="shared" ref="J25:J36" si="30">MAX(F25:I25)</f>
        <v>0.10330387796701124</v>
      </c>
      <c r="K25" s="15">
        <f t="shared" ref="K25:K36" si="31">SUM(F25:I25)</f>
        <v>0.20650009595960195</v>
      </c>
      <c r="M25" s="12">
        <v>3</v>
      </c>
      <c r="N25" s="13">
        <f t="shared" si="12"/>
        <v>-0.94681228209709045</v>
      </c>
      <c r="O25" s="13">
        <f t="shared" si="13"/>
        <v>1.4302557331370571</v>
      </c>
      <c r="P25" s="13">
        <f t="shared" si="14"/>
        <v>0.49619872791098901</v>
      </c>
      <c r="Q25" s="13">
        <f t="shared" si="15"/>
        <v>-2.1506470027284554</v>
      </c>
      <c r="R25" s="11">
        <f t="shared" si="16"/>
        <v>8.0088319426471766E-2</v>
      </c>
      <c r="S25" s="11">
        <f t="shared" si="17"/>
        <v>2.6387890617243892E-2</v>
      </c>
      <c r="T25" s="11">
        <f t="shared" si="18"/>
        <v>1.5516999690005973E-2</v>
      </c>
      <c r="U25" s="11">
        <f t="shared" si="19"/>
        <v>1.1621767484539802E-3</v>
      </c>
      <c r="V25" s="15">
        <f t="shared" si="20"/>
        <v>8.0088319426471766E-2</v>
      </c>
      <c r="W25" s="15">
        <f t="shared" si="21"/>
        <v>0.12315538648217561</v>
      </c>
    </row>
    <row r="26" spans="1:23" x14ac:dyDescent="0.25">
      <c r="A26" s="12">
        <v>4</v>
      </c>
      <c r="B26" s="13">
        <f t="shared" si="22"/>
        <v>-1.2645427443301154</v>
      </c>
      <c r="C26" s="13">
        <f t="shared" si="23"/>
        <v>1.4276582220690466</v>
      </c>
      <c r="D26" s="13">
        <f t="shared" si="24"/>
        <v>0.45672099294192298</v>
      </c>
      <c r="E26" s="13">
        <f t="shared" si="25"/>
        <v>-1.980322803357168</v>
      </c>
      <c r="F26" s="14">
        <f t="shared" si="26"/>
        <v>9.2477014895724352E-3</v>
      </c>
      <c r="G26" s="14">
        <f t="shared" si="27"/>
        <v>8.5969695644687594E-3</v>
      </c>
      <c r="H26" s="14">
        <f t="shared" si="28"/>
        <v>3.2849085176974324E-2</v>
      </c>
      <c r="I26" s="14">
        <f t="shared" si="29"/>
        <v>2.4632444392331587E-2</v>
      </c>
      <c r="J26" s="15">
        <f t="shared" si="30"/>
        <v>3.2849085176974324E-2</v>
      </c>
      <c r="K26" s="15">
        <f t="shared" si="31"/>
        <v>7.5326200623347106E-2</v>
      </c>
      <c r="M26" s="12">
        <v>4</v>
      </c>
      <c r="N26" s="13">
        <f t="shared" si="12"/>
        <v>-0.94680074737550446</v>
      </c>
      <c r="O26" s="13">
        <f t="shared" si="13"/>
        <v>1.4284357421254696</v>
      </c>
      <c r="P26" s="13">
        <f t="shared" si="14"/>
        <v>0.49576846328088287</v>
      </c>
      <c r="Q26" s="13">
        <f>(-20.95-0.9*N26-2.5*O26-1.3*P26)/12.1</f>
        <v>-2.0093774946232124</v>
      </c>
      <c r="R26" s="11">
        <f t="shared" si="16"/>
        <v>1.1534721585992891E-5</v>
      </c>
      <c r="S26" s="11">
        <f t="shared" si="17"/>
        <v>1.819991011587474E-3</v>
      </c>
      <c r="T26" s="11">
        <f t="shared" si="18"/>
        <v>4.3026463010614746E-4</v>
      </c>
      <c r="U26" s="11">
        <f t="shared" si="19"/>
        <v>0.14126950810524308</v>
      </c>
      <c r="V26" s="15">
        <f t="shared" si="20"/>
        <v>0.14126950810524308</v>
      </c>
      <c r="W26" s="15">
        <f t="shared" si="21"/>
        <v>0.14353129846852269</v>
      </c>
    </row>
    <row r="27" spans="1:23" x14ac:dyDescent="0.25">
      <c r="A27" s="12">
        <v>5</v>
      </c>
      <c r="B27" s="13">
        <f t="shared" si="22"/>
        <v>-1.2678911402421507</v>
      </c>
      <c r="C27" s="13">
        <f t="shared" si="23"/>
        <v>1.4297479296585873</v>
      </c>
      <c r="D27" s="13">
        <f t="shared" si="24"/>
        <v>0.45015591078020478</v>
      </c>
      <c r="E27" s="13">
        <f t="shared" si="25"/>
        <v>-1.9813879649669435</v>
      </c>
      <c r="F27" s="14">
        <f t="shared" si="26"/>
        <v>3.3483959120352846E-3</v>
      </c>
      <c r="G27" s="14">
        <f t="shared" si="27"/>
        <v>2.0897075895407458E-3</v>
      </c>
      <c r="H27" s="14">
        <f t="shared" si="28"/>
        <v>6.5650821617181943E-3</v>
      </c>
      <c r="I27" s="14">
        <f t="shared" si="29"/>
        <v>1.0651616097754335E-3</v>
      </c>
      <c r="J27" s="15">
        <f t="shared" si="30"/>
        <v>6.5650821617181943E-3</v>
      </c>
      <c r="K27" s="15">
        <f t="shared" si="31"/>
        <v>1.3068347273069658E-2</v>
      </c>
      <c r="M27" s="12">
        <v>5</v>
      </c>
      <c r="N27" s="13">
        <f t="shared" ref="N27:N46" si="32">(-12.93+1.2*O26-2.1*P26-0.9*Q26)/10.9</f>
        <v>-0.95858267313563306</v>
      </c>
      <c r="O27" s="13">
        <f t="shared" ref="O27:O46" si="33">(10.23-1.2*N27-1.5*P26-2.5*Q26)/11.2</f>
        <v>1.398222343696381</v>
      </c>
      <c r="P27" s="13">
        <f t="shared" ref="P27:P46" si="34">(-7.5-2.1*N27-1.5*O27-1.3*Q26)/(-9.8)</f>
        <v>0.50735909785199651</v>
      </c>
      <c r="Q27" s="13">
        <f t="shared" ref="Q27:Q46" si="35">(-20.95-0.9*N27-2.5*O27-1.3*P27)/12.1</f>
        <v>-2.0035039901344196</v>
      </c>
      <c r="R27" s="11">
        <f t="shared" ref="R27:R46" si="36">ABS(N26-N27)</f>
        <v>1.1781925760128598E-2</v>
      </c>
      <c r="S27" s="11">
        <f t="shared" ref="S27:S46" si="37">ABS(O26-O27)</f>
        <v>3.0213398429088656E-2</v>
      </c>
      <c r="T27" s="11">
        <f t="shared" ref="T27:T46" si="38">ABS(P26-P27)</f>
        <v>1.1590634571113645E-2</v>
      </c>
      <c r="U27" s="11">
        <f t="shared" ref="U27:U46" si="39">ABS(Q26-Q27)</f>
        <v>5.8735044887927579E-3</v>
      </c>
      <c r="V27" s="15">
        <f t="shared" ref="V27:V46" si="40">MAX(R27:U27)</f>
        <v>3.0213398429088656E-2</v>
      </c>
      <c r="W27" s="15">
        <f t="shared" ref="W27:W46" si="41">SUM(R27:U27)</f>
        <v>5.9459463249123656E-2</v>
      </c>
    </row>
    <row r="28" spans="1:23" x14ac:dyDescent="0.25">
      <c r="M28" s="12">
        <v>6</v>
      </c>
      <c r="N28" s="13">
        <f t="shared" si="32"/>
        <v>-0.96462694513142733</v>
      </c>
      <c r="O28" s="13">
        <f t="shared" si="33"/>
        <v>1.3960065770281933</v>
      </c>
      <c r="P28" s="13">
        <f t="shared" si="34"/>
        <v>0.50650388710117822</v>
      </c>
      <c r="Q28" s="13">
        <f t="shared" si="35"/>
        <v>-2.0025047310069195</v>
      </c>
      <c r="R28" s="11">
        <f t="shared" si="36"/>
        <v>6.0442719957942703E-3</v>
      </c>
      <c r="S28" s="11">
        <f t="shared" si="37"/>
        <v>2.2157666681876798E-3</v>
      </c>
      <c r="T28" s="11">
        <f t="shared" si="38"/>
        <v>8.5521075081829157E-4</v>
      </c>
      <c r="U28" s="11">
        <f t="shared" si="39"/>
        <v>9.9925912750009616E-4</v>
      </c>
      <c r="V28" s="15">
        <f t="shared" si="40"/>
        <v>6.0442719957942703E-3</v>
      </c>
      <c r="W28" s="15">
        <f t="shared" si="41"/>
        <v>1.0114508542300338E-2</v>
      </c>
    </row>
  </sheetData>
  <pageMargins left="0.7" right="0.7" top="0.75" bottom="0.75" header="0.3" footer="0.3"/>
  <ignoredErrors>
    <ignoredError sqref="A14:A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Force</dc:creator>
  <cp:lastModifiedBy>Михаил Зубенко</cp:lastModifiedBy>
  <dcterms:created xsi:type="dcterms:W3CDTF">2025-03-23T17:00:33Z</dcterms:created>
  <dcterms:modified xsi:type="dcterms:W3CDTF">2025-03-24T14:52:00Z</dcterms:modified>
</cp:coreProperties>
</file>
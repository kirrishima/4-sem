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ce\Documents\University\4-sem\ЧМ\"/>
    </mc:Choice>
  </mc:AlternateContent>
  <xr:revisionPtr revIDLastSave="0" documentId="13_ncr:1_{503A3F51-9E8C-452F-A2B9-B8322946DEFD}" xr6:coauthVersionLast="47" xr6:coauthVersionMax="47" xr10:uidLastSave="{00000000-0000-0000-0000-000000000000}"/>
  <bookViews>
    <workbookView xWindow="-120" yWindow="-120" windowWidth="29040" windowHeight="15840" activeTab="2" xr2:uid="{96401943-4E6E-42C6-B6EC-5AC30C359C72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3" l="1" a="1"/>
  <c r="C43" i="3" s="1"/>
  <c r="H40" i="3"/>
  <c r="H41" i="3"/>
  <c r="H42" i="3"/>
  <c r="H43" i="3"/>
  <c r="H44" i="3"/>
  <c r="H45" i="3"/>
  <c r="H46" i="3"/>
  <c r="H47" i="3"/>
  <c r="H48" i="3"/>
  <c r="H39" i="3"/>
  <c r="F38" i="3" a="1"/>
  <c r="F38" i="3" s="1"/>
  <c r="B38" i="3" a="1"/>
  <c r="B38" i="3" s="1"/>
  <c r="E35" i="3"/>
  <c r="E34" i="3"/>
  <c r="E33" i="3"/>
  <c r="D35" i="3"/>
  <c r="C35" i="3"/>
  <c r="B35" i="3"/>
  <c r="D34" i="3"/>
  <c r="C34" i="3"/>
  <c r="B34" i="3"/>
  <c r="D33" i="3"/>
  <c r="C33" i="3"/>
  <c r="B33" i="3"/>
  <c r="E30" i="3"/>
  <c r="C30" i="3"/>
  <c r="C29" i="3"/>
  <c r="C28" i="3" l="1"/>
  <c r="C26" i="3"/>
  <c r="D26" i="3"/>
  <c r="E26" i="3"/>
  <c r="F26" i="3"/>
  <c r="G26" i="3"/>
  <c r="H26" i="3"/>
  <c r="B26" i="3"/>
  <c r="H17" i="3"/>
  <c r="H18" i="3"/>
  <c r="H19" i="3"/>
  <c r="H20" i="3"/>
  <c r="H21" i="3"/>
  <c r="H22" i="3"/>
  <c r="H23" i="3"/>
  <c r="H24" i="3"/>
  <c r="H25" i="3"/>
  <c r="H16" i="3"/>
  <c r="G17" i="3"/>
  <c r="G18" i="3"/>
  <c r="G19" i="3"/>
  <c r="G20" i="3"/>
  <c r="G21" i="3"/>
  <c r="G22" i="3"/>
  <c r="G23" i="3"/>
  <c r="G24" i="3"/>
  <c r="G25" i="3"/>
  <c r="G16" i="3"/>
  <c r="F17" i="3"/>
  <c r="F18" i="3"/>
  <c r="F19" i="3"/>
  <c r="F20" i="3"/>
  <c r="F21" i="3"/>
  <c r="F22" i="3"/>
  <c r="F23" i="3"/>
  <c r="F24" i="3"/>
  <c r="F25" i="3"/>
  <c r="F16" i="3"/>
  <c r="E17" i="3"/>
  <c r="E18" i="3"/>
  <c r="E19" i="3"/>
  <c r="E20" i="3"/>
  <c r="E21" i="3"/>
  <c r="E22" i="3"/>
  <c r="E23" i="3"/>
  <c r="E24" i="3"/>
  <c r="E25" i="3"/>
  <c r="E16" i="3"/>
  <c r="D17" i="3"/>
  <c r="D18" i="3"/>
  <c r="D19" i="3"/>
  <c r="D20" i="3"/>
  <c r="D21" i="3"/>
  <c r="D22" i="3"/>
  <c r="D23" i="3"/>
  <c r="D24" i="3"/>
  <c r="D25" i="3"/>
  <c r="D16" i="3"/>
  <c r="C17" i="3"/>
  <c r="C18" i="3"/>
  <c r="C19" i="3"/>
  <c r="C20" i="3"/>
  <c r="C21" i="3"/>
  <c r="C22" i="3"/>
  <c r="C23" i="3"/>
  <c r="C24" i="3"/>
  <c r="C25" i="3"/>
  <c r="C16" i="3"/>
  <c r="B17" i="3"/>
  <c r="B18" i="3"/>
  <c r="B19" i="3"/>
  <c r="B20" i="3"/>
  <c r="B21" i="3"/>
  <c r="B22" i="3"/>
  <c r="B23" i="3"/>
  <c r="B24" i="3"/>
  <c r="B25" i="3"/>
  <c r="B16" i="3"/>
  <c r="B3" i="2"/>
  <c r="C3" i="2" s="1"/>
  <c r="D3" i="2" s="1"/>
  <c r="C2" i="2"/>
  <c r="O7" i="1"/>
  <c r="J8" i="1"/>
  <c r="F5" i="1" a="1"/>
  <c r="F5" i="1" s="1"/>
  <c r="G5" i="1" a="1"/>
  <c r="G5" i="1" s="1"/>
  <c r="H5" i="1" a="1"/>
  <c r="H5" i="1" s="1"/>
  <c r="F2" i="1" a="1"/>
  <c r="F2" i="1" s="1"/>
  <c r="D5" i="1" a="1"/>
  <c r="D5" i="1" s="1"/>
  <c r="C5" i="1" a="1"/>
  <c r="C5" i="1" s="1"/>
  <c r="B5" i="1" a="1"/>
  <c r="B5" i="1"/>
  <c r="B4" i="2" l="1"/>
  <c r="B5" i="2" l="1"/>
  <c r="C4" i="2"/>
  <c r="D4" i="2" s="1"/>
  <c r="E4" i="2" s="1"/>
  <c r="C5" i="2" l="1"/>
  <c r="D5" i="2" s="1"/>
  <c r="E5" i="2" s="1"/>
  <c r="F5" i="2" s="1"/>
  <c r="B6" i="2"/>
  <c r="C6" i="2" l="1"/>
  <c r="D6" i="2" s="1"/>
  <c r="E6" i="2" s="1"/>
  <c r="F6" i="2" s="1"/>
  <c r="G6" i="2" s="1"/>
  <c r="B7" i="2"/>
  <c r="B8" i="2" l="1"/>
  <c r="C7" i="2"/>
  <c r="D7" i="2" s="1"/>
  <c r="E7" i="2" s="1"/>
  <c r="F7" i="2" s="1"/>
  <c r="G7" i="2" s="1"/>
  <c r="H7" i="2" s="1"/>
  <c r="C8" i="2" l="1"/>
  <c r="D8" i="2" s="1"/>
  <c r="E8" i="2" s="1"/>
  <c r="F8" i="2" s="1"/>
  <c r="G8" i="2" s="1"/>
  <c r="H8" i="2" s="1"/>
  <c r="I8" i="2" s="1"/>
  <c r="B9" i="2"/>
  <c r="B10" i="2" l="1"/>
  <c r="C9" i="2"/>
  <c r="D9" i="2" s="1"/>
  <c r="E9" i="2" s="1"/>
  <c r="F9" i="2" s="1"/>
  <c r="G9" i="2" s="1"/>
  <c r="H9" i="2" s="1"/>
  <c r="I9" i="2" s="1"/>
  <c r="J9" i="2" s="1"/>
  <c r="B11" i="2" l="1"/>
  <c r="C10" i="2"/>
  <c r="D10" i="2" s="1"/>
  <c r="E10" i="2" s="1"/>
  <c r="F10" i="2" s="1"/>
  <c r="G10" i="2" s="1"/>
  <c r="H10" i="2" s="1"/>
  <c r="I10" i="2" s="1"/>
  <c r="J10" i="2" s="1"/>
  <c r="K10" i="2" s="1"/>
  <c r="C11" i="2" l="1"/>
  <c r="D11" i="2" s="1"/>
  <c r="E11" i="2" s="1"/>
  <c r="F11" i="2" s="1"/>
  <c r="G11" i="2" s="1"/>
  <c r="H11" i="2" s="1"/>
  <c r="I11" i="2" s="1"/>
  <c r="J11" i="2" s="1"/>
  <c r="K11" i="2" s="1"/>
  <c r="L11" i="2" s="1"/>
  <c r="B12" i="2"/>
  <c r="C12" i="2" s="1"/>
  <c r="D12" i="2" s="1"/>
  <c r="E12" i="2" s="1"/>
  <c r="F12" i="2" s="1"/>
  <c r="G12" i="2" s="1"/>
  <c r="H12" i="2" s="1"/>
  <c r="I12" i="2" s="1"/>
  <c r="J12" i="2" s="1"/>
  <c r="K12" i="2" s="1"/>
  <c r="L12" i="2" s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<sst xmlns="http://schemas.openxmlformats.org/spreadsheetml/2006/main" count="20" uniqueCount="19">
  <si>
    <t>L(x)=</t>
  </si>
  <si>
    <t>xn=</t>
  </si>
  <si>
    <t>xn</t>
  </si>
  <si>
    <t>yn</t>
  </si>
  <si>
    <t>x</t>
  </si>
  <si>
    <t>y</t>
  </si>
  <si>
    <t>xi</t>
  </si>
  <si>
    <t>yi</t>
  </si>
  <si>
    <t>xi*yi</t>
  </si>
  <si>
    <t>xi^2</t>
  </si>
  <si>
    <t>xi^2yi</t>
  </si>
  <si>
    <t>xi^3</t>
  </si>
  <si>
    <t>Sum</t>
  </si>
  <si>
    <t>xi^4</t>
  </si>
  <si>
    <t>n=</t>
  </si>
  <si>
    <t>r=</t>
  </si>
  <si>
    <t>t расч=</t>
  </si>
  <si>
    <t>t табл=</t>
  </si>
  <si>
    <t>RMSE=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</si>
</sst>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Лист3!$B$3:$B$12</c:f>
              <c:numCache>
                <c:formatCode>General</c:formatCode>
                <c:ptCount val="10"/>
                <c:pt idx="0">
                  <c:v>-1</c:v>
                </c:pt>
                <c:pt idx="1">
                  <c:v>-0.72</c:v>
                </c:pt>
                <c:pt idx="2">
                  <c:v>-0.31</c:v>
                </c:pt>
                <c:pt idx="3">
                  <c:v>0.04</c:v>
                </c:pt>
                <c:pt idx="4">
                  <c:v>0.08</c:v>
                </c:pt>
                <c:pt idx="5">
                  <c:v>0.66</c:v>
                </c:pt>
                <c:pt idx="6">
                  <c:v>1.1000000000000001</c:v>
                </c:pt>
                <c:pt idx="7">
                  <c:v>0.89</c:v>
                </c:pt>
                <c:pt idx="8">
                  <c:v>2</c:v>
                </c:pt>
                <c:pt idx="9">
                  <c:v>1.8</c:v>
                </c:pt>
              </c:numCache>
            </c:numRef>
          </c:xVal>
          <c:yVal>
            <c:numRef>
              <c:f>Лист3!$C$3:$C$12</c:f>
              <c:numCache>
                <c:formatCode>General</c:formatCode>
                <c:ptCount val="10"/>
                <c:pt idx="0">
                  <c:v>0.39</c:v>
                </c:pt>
                <c:pt idx="1">
                  <c:v>0.64</c:v>
                </c:pt>
                <c:pt idx="2">
                  <c:v>0.9</c:v>
                </c:pt>
                <c:pt idx="3">
                  <c:v>1</c:v>
                </c:pt>
                <c:pt idx="4">
                  <c:v>1</c:v>
                </c:pt>
                <c:pt idx="5">
                  <c:v>0.65</c:v>
                </c:pt>
                <c:pt idx="6">
                  <c:v>0.37</c:v>
                </c:pt>
                <c:pt idx="7">
                  <c:v>0.17</c:v>
                </c:pt>
                <c:pt idx="8">
                  <c:v>7.0000000000000007E-2</c:v>
                </c:pt>
                <c:pt idx="9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73-4A62-A4D2-6E2C25245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661600"/>
        <c:axId val="1732662016"/>
      </c:scatterChart>
      <c:valAx>
        <c:axId val="173266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2662016"/>
        <c:crosses val="autoZero"/>
        <c:crossBetween val="midCat"/>
      </c:valAx>
      <c:valAx>
        <c:axId val="173266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266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214312</xdr:colOff>
      <xdr:row>4</xdr:row>
      <xdr:rowOff>138112</xdr:rowOff>
    </xdr:from>
    <xdr:to>
      <xdr:col>16</xdr:col>
      <xdr:colOff>519112</xdr:colOff>
      <xdr:row>19</xdr:row>
      <xdr:rowOff>23812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9CA239D-6E2B-41B9-A516-513BF4DB8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744E-2E5F-4588-8071-27F961C8D5C5}">
  <dimension ref="B2:O8"/>
  <sheetViews>
    <sheetView workbookViewId="0">
      <selection activeCell="N14" sqref="N14"/>
    </sheetView>
  </sheetViews>
  <sheetFormatPr defaultRowHeight="15" x14ac:dyDescent="0.25"/>
  <sheetData>
    <row r="2" spans="2:15" x14ac:dyDescent="0.25">
      <c r="B2">
        <v>1</v>
      </c>
      <c r="C2">
        <v>-1</v>
      </c>
      <c r="D2">
        <v>1</v>
      </c>
      <c r="F2" cm="1">
        <f t="array" ref="F2:H4">MINVERSE(B2:D4)</f>
        <v>3.4881442288849762E-2</v>
      </c>
      <c r="G2">
        <v>1.0173754000914497</v>
      </c>
      <c r="H2">
        <v>-5.2256842380299262E-2</v>
      </c>
    </row>
    <row r="3" spans="2:15" x14ac:dyDescent="0.25">
      <c r="B3">
        <v>1</v>
      </c>
      <c r="C3">
        <v>0.08</v>
      </c>
      <c r="D3">
        <v>6.4000000000000003E-3</v>
      </c>
      <c r="F3">
        <v>-0.47521066039584553</v>
      </c>
      <c r="G3">
        <v>-0.12574302697759485</v>
      </c>
      <c r="H3">
        <v>0.60095368737344035</v>
      </c>
    </row>
    <row r="4" spans="2:15" x14ac:dyDescent="0.25">
      <c r="B4">
        <v>1</v>
      </c>
      <c r="C4">
        <v>0.89</v>
      </c>
      <c r="D4">
        <v>0.79210000000000003</v>
      </c>
      <c r="F4">
        <v>0.48990789731530476</v>
      </c>
      <c r="G4">
        <v>-1.1431184270690444</v>
      </c>
      <c r="H4">
        <v>0.65321052975373961</v>
      </c>
    </row>
    <row r="5" spans="2:15" x14ac:dyDescent="0.25">
      <c r="B5" s="1" cm="1">
        <f t="array" ref="B5">SUM(ABS(B2:B4))</f>
        <v>3</v>
      </c>
      <c r="C5" s="1" cm="1">
        <f t="array" ref="C5">SUM(ABS(C2:C4))</f>
        <v>1.9700000000000002</v>
      </c>
      <c r="D5" s="1" cm="1">
        <f t="array" ref="D5">SUM(ABS(D2:D4))</f>
        <v>1.7985</v>
      </c>
      <c r="F5" s="1" cm="1">
        <f t="array" ref="F5">SUM(ABS(F2:F4))</f>
        <v>1</v>
      </c>
      <c r="G5" s="1" cm="1">
        <f t="array" ref="G5">SUM(ABS(G2:G4))</f>
        <v>2.2862368541380889</v>
      </c>
      <c r="H5" s="1" cm="1">
        <f t="array" ref="H5">SUM(ABS(H2:H4))</f>
        <v>1.3064210595074792</v>
      </c>
    </row>
    <row r="6" spans="2:15" x14ac:dyDescent="0.25">
      <c r="L6">
        <v>0</v>
      </c>
      <c r="M6">
        <v>2</v>
      </c>
      <c r="N6">
        <v>1</v>
      </c>
    </row>
    <row r="7" spans="2:15" x14ac:dyDescent="0.25">
      <c r="I7" t="s">
        <v>1</v>
      </c>
      <c r="J7">
        <v>2</v>
      </c>
      <c r="K7" t="s">
        <v>2</v>
      </c>
      <c r="L7">
        <v>0.08</v>
      </c>
      <c r="M7">
        <v>2</v>
      </c>
      <c r="N7">
        <v>0.89</v>
      </c>
      <c r="O7">
        <f>((M8-N8)/(M7-N7)-(N8-L8)/(N7-L7))/(M7-L7)</f>
        <v>0.42890112334556779</v>
      </c>
    </row>
    <row r="8" spans="2:15" x14ac:dyDescent="0.25">
      <c r="I8" t="s">
        <v>0</v>
      </c>
      <c r="J8">
        <f>0.414128136419*J7*J7+0.862479366987*J7+0.838351230567</f>
        <v>4.2198225102169999</v>
      </c>
      <c r="K8" t="s">
        <v>3</v>
      </c>
      <c r="L8">
        <v>0.91</v>
      </c>
      <c r="M8">
        <v>7.0000000000000007E-2</v>
      </c>
      <c r="N8">
        <v>0.17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DB76-F152-4DCF-B5E0-7C1F0D103B28}">
  <dimension ref="B2:M12"/>
  <sheetViews>
    <sheetView workbookViewId="0">
      <selection activeCell="B1" sqref="B1"/>
    </sheetView>
  </sheetViews>
  <sheetFormatPr defaultRowHeight="15" x14ac:dyDescent="0.25"/>
  <sheetData>
    <row r="2" spans="2:13" x14ac:dyDescent="0.25">
      <c r="B2">
        <v>-1</v>
      </c>
      <c r="C2">
        <f>B2/(3*B2*B2+1)</f>
        <v>-0.25</v>
      </c>
    </row>
    <row r="3" spans="2:13" x14ac:dyDescent="0.25">
      <c r="B3">
        <f>B2+0.6</f>
        <v>-0.4</v>
      </c>
      <c r="C3">
        <f t="shared" ref="C3:C12" si="0">B3/(3*B3*B3+1)</f>
        <v>-0.27027027027027029</v>
      </c>
      <c r="D3">
        <f>C3-C2</f>
        <v>-2.0270270270270285E-2</v>
      </c>
    </row>
    <row r="4" spans="2:13" x14ac:dyDescent="0.25">
      <c r="B4">
        <f t="shared" ref="B4:B12" si="1">B3+0.6</f>
        <v>0.19999999999999996</v>
      </c>
      <c r="C4">
        <f t="shared" si="0"/>
        <v>0.17857142857142855</v>
      </c>
      <c r="D4">
        <f t="shared" ref="D4:M12" si="2">C4-C3</f>
        <v>0.44884169884169883</v>
      </c>
      <c r="E4">
        <f t="shared" si="2"/>
        <v>0.46911196911196912</v>
      </c>
    </row>
    <row r="5" spans="2:13" x14ac:dyDescent="0.25">
      <c r="B5">
        <f t="shared" si="1"/>
        <v>0.79999999999999993</v>
      </c>
      <c r="C5">
        <f t="shared" si="0"/>
        <v>0.27397260273972601</v>
      </c>
      <c r="D5">
        <f t="shared" si="2"/>
        <v>9.5401174168297465E-2</v>
      </c>
      <c r="E5">
        <f t="shared" si="2"/>
        <v>-0.35344052467340137</v>
      </c>
      <c r="F5">
        <f t="shared" si="2"/>
        <v>-0.82255249378537054</v>
      </c>
    </row>
    <row r="6" spans="2:13" x14ac:dyDescent="0.25">
      <c r="B6">
        <f t="shared" si="1"/>
        <v>1.4</v>
      </c>
      <c r="C6">
        <f t="shared" si="0"/>
        <v>0.20348837209302328</v>
      </c>
      <c r="D6">
        <f t="shared" si="2"/>
        <v>-7.0484230646702728E-2</v>
      </c>
      <c r="E6">
        <f t="shared" si="2"/>
        <v>-0.16588540481500019</v>
      </c>
      <c r="F6">
        <f t="shared" si="2"/>
        <v>0.18755511985840118</v>
      </c>
      <c r="G6">
        <f t="shared" si="2"/>
        <v>1.0101076136437717</v>
      </c>
    </row>
    <row r="7" spans="2:13" x14ac:dyDescent="0.25">
      <c r="B7">
        <f t="shared" si="1"/>
        <v>2</v>
      </c>
      <c r="C7">
        <f t="shared" si="0"/>
        <v>0.15384615384615385</v>
      </c>
      <c r="D7">
        <f t="shared" si="2"/>
        <v>-4.964221824686943E-2</v>
      </c>
      <c r="E7">
        <f t="shared" si="2"/>
        <v>2.0842012399833298E-2</v>
      </c>
      <c r="F7">
        <f t="shared" si="2"/>
        <v>0.18672741721483349</v>
      </c>
      <c r="G7">
        <f t="shared" si="2"/>
        <v>-8.2770264356768486E-4</v>
      </c>
      <c r="H7">
        <f t="shared" si="2"/>
        <v>-1.0109353162873393</v>
      </c>
    </row>
    <row r="8" spans="2:13" x14ac:dyDescent="0.25">
      <c r="B8">
        <f t="shared" si="1"/>
        <v>2.6</v>
      </c>
      <c r="C8">
        <f t="shared" si="0"/>
        <v>0.12218045112781954</v>
      </c>
      <c r="D8">
        <f t="shared" si="2"/>
        <v>-3.1665702718334313E-2</v>
      </c>
      <c r="E8">
        <f t="shared" si="2"/>
        <v>1.7976515528535117E-2</v>
      </c>
      <c r="F8">
        <f t="shared" si="2"/>
        <v>-2.8654968712981815E-3</v>
      </c>
      <c r="G8">
        <f t="shared" si="2"/>
        <v>-0.18959291408613166</v>
      </c>
      <c r="H8">
        <f t="shared" si="2"/>
        <v>-0.18876521144256397</v>
      </c>
      <c r="I8">
        <f t="shared" si="2"/>
        <v>0.82217010484477537</v>
      </c>
    </row>
    <row r="9" spans="2:13" x14ac:dyDescent="0.25">
      <c r="B9">
        <f t="shared" si="1"/>
        <v>3.2</v>
      </c>
      <c r="C9">
        <f t="shared" si="0"/>
        <v>0.10088272383354349</v>
      </c>
      <c r="D9">
        <f t="shared" si="2"/>
        <v>-2.129772729427605E-2</v>
      </c>
      <c r="E9">
        <f t="shared" si="2"/>
        <v>1.0367975424058262E-2</v>
      </c>
      <c r="F9">
        <f t="shared" si="2"/>
        <v>-7.6085401044768547E-3</v>
      </c>
      <c r="G9">
        <f t="shared" si="2"/>
        <v>-4.7430432331786732E-3</v>
      </c>
      <c r="H9">
        <f t="shared" si="2"/>
        <v>0.18484987085295299</v>
      </c>
      <c r="I9">
        <f t="shared" si="2"/>
        <v>0.37361508229551699</v>
      </c>
      <c r="J9">
        <f t="shared" si="2"/>
        <v>-0.44855502254925839</v>
      </c>
    </row>
    <row r="10" spans="2:13" x14ac:dyDescent="0.25">
      <c r="B10">
        <f t="shared" si="1"/>
        <v>3.8000000000000003</v>
      </c>
      <c r="C10">
        <f t="shared" si="0"/>
        <v>8.5740072202166062E-2</v>
      </c>
      <c r="D10">
        <f t="shared" si="2"/>
        <v>-1.514265163137743E-2</v>
      </c>
      <c r="E10">
        <f t="shared" si="2"/>
        <v>6.1550756628986208E-3</v>
      </c>
      <c r="F10">
        <f t="shared" si="2"/>
        <v>-4.2128997611596414E-3</v>
      </c>
      <c r="G10">
        <f t="shared" si="2"/>
        <v>3.3956403433172133E-3</v>
      </c>
      <c r="H10">
        <f t="shared" si="2"/>
        <v>8.1386835764958865E-3</v>
      </c>
      <c r="I10">
        <f t="shared" si="2"/>
        <v>-0.1767111872764571</v>
      </c>
      <c r="J10">
        <f t="shared" si="2"/>
        <v>-0.55032626957197406</v>
      </c>
      <c r="K10">
        <f t="shared" si="2"/>
        <v>-0.10177124702271567</v>
      </c>
    </row>
    <row r="11" spans="2:13" x14ac:dyDescent="0.25">
      <c r="B11">
        <f t="shared" si="1"/>
        <v>4.4000000000000004</v>
      </c>
      <c r="C11">
        <f t="shared" si="0"/>
        <v>7.4475287745429913E-2</v>
      </c>
      <c r="D11">
        <f t="shared" si="2"/>
        <v>-1.1264784456736149E-2</v>
      </c>
      <c r="E11">
        <f t="shared" si="2"/>
        <v>3.8778671746412807E-3</v>
      </c>
      <c r="F11">
        <f t="shared" si="2"/>
        <v>-2.2772084882573401E-3</v>
      </c>
      <c r="G11">
        <f t="shared" si="2"/>
        <v>1.9356912729023013E-3</v>
      </c>
      <c r="H11">
        <f t="shared" si="2"/>
        <v>-1.4599490704149121E-3</v>
      </c>
      <c r="I11">
        <f t="shared" si="2"/>
        <v>-9.5986326469107985E-3</v>
      </c>
      <c r="J11">
        <f t="shared" si="2"/>
        <v>0.1671125546295463</v>
      </c>
      <c r="K11">
        <f t="shared" si="2"/>
        <v>0.71743882420152039</v>
      </c>
      <c r="L11">
        <f t="shared" si="2"/>
        <v>0.81921007122423606</v>
      </c>
    </row>
    <row r="12" spans="2:13" x14ac:dyDescent="0.25">
      <c r="B12">
        <f t="shared" si="1"/>
        <v>5</v>
      </c>
      <c r="C12">
        <f t="shared" si="0"/>
        <v>6.5789473684210523E-2</v>
      </c>
      <c r="D12">
        <f t="shared" si="2"/>
        <v>-8.6858140612193907E-3</v>
      </c>
      <c r="E12">
        <f t="shared" si="2"/>
        <v>2.5789703955167581E-3</v>
      </c>
      <c r="F12">
        <f t="shared" si="2"/>
        <v>-1.2988967791245226E-3</v>
      </c>
      <c r="G12">
        <f t="shared" si="2"/>
        <v>9.7831170913281751E-4</v>
      </c>
      <c r="H12">
        <f t="shared" si="2"/>
        <v>-9.5737956376948374E-4</v>
      </c>
      <c r="I12">
        <f t="shared" si="2"/>
        <v>5.0256950664542832E-4</v>
      </c>
      <c r="J12">
        <f t="shared" si="2"/>
        <v>1.0101202153556227E-2</v>
      </c>
      <c r="K12">
        <f t="shared" si="2"/>
        <v>-0.15701135247599007</v>
      </c>
      <c r="L12">
        <f t="shared" si="2"/>
        <v>-0.87445017667751046</v>
      </c>
      <c r="M12">
        <f t="shared" si="2"/>
        <v>-1.6936602479017466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D392-1A5D-497F-B2EA-F7E1355E8C64}">
  <dimension ref="B2:I48"/>
  <sheetViews>
    <sheetView tabSelected="1" zoomScale="113" zoomScaleNormal="115" workbookViewId="0">
      <selection activeCell="J28" sqref="J28"/>
    </sheetView>
  </sheetViews>
  <sheetFormatPr defaultRowHeight="15" x14ac:dyDescent="0.25"/>
  <cols>
    <col min="3" max="3" width="12" bestFit="1" customWidth="1"/>
  </cols>
  <sheetData>
    <row r="2" spans="2:8" x14ac:dyDescent="0.25">
      <c r="B2" t="s">
        <v>4</v>
      </c>
      <c r="C2" t="s">
        <v>5</v>
      </c>
    </row>
    <row r="3" spans="2:8" x14ac:dyDescent="0.25">
      <c r="B3">
        <v>-1</v>
      </c>
      <c r="C3">
        <v>0.39</v>
      </c>
    </row>
    <row r="4" spans="2:8" x14ac:dyDescent="0.25">
      <c r="B4">
        <v>-0.72</v>
      </c>
      <c r="C4">
        <v>0.64</v>
      </c>
    </row>
    <row r="5" spans="2:8" x14ac:dyDescent="0.25">
      <c r="B5">
        <v>-0.31</v>
      </c>
      <c r="C5">
        <v>0.9</v>
      </c>
    </row>
    <row r="6" spans="2:8" x14ac:dyDescent="0.25">
      <c r="B6">
        <v>0.04</v>
      </c>
      <c r="C6">
        <v>1</v>
      </c>
    </row>
    <row r="7" spans="2:8" x14ac:dyDescent="0.25">
      <c r="B7">
        <v>0.08</v>
      </c>
      <c r="C7">
        <v>1</v>
      </c>
    </row>
    <row r="8" spans="2:8" x14ac:dyDescent="0.25">
      <c r="B8">
        <v>0.66</v>
      </c>
      <c r="C8">
        <v>0.65</v>
      </c>
    </row>
    <row r="9" spans="2:8" x14ac:dyDescent="0.25">
      <c r="B9">
        <v>1.1000000000000001</v>
      </c>
      <c r="C9">
        <v>0.37</v>
      </c>
    </row>
    <row r="10" spans="2:8" x14ac:dyDescent="0.25">
      <c r="B10">
        <v>0.89</v>
      </c>
      <c r="C10">
        <v>0.17</v>
      </c>
    </row>
    <row r="11" spans="2:8" x14ac:dyDescent="0.25">
      <c r="B11">
        <v>2</v>
      </c>
      <c r="C11">
        <v>7.0000000000000007E-2</v>
      </c>
    </row>
    <row r="12" spans="2:8" x14ac:dyDescent="0.25">
      <c r="B12">
        <v>1.8</v>
      </c>
      <c r="C12">
        <v>0.02</v>
      </c>
    </row>
    <row r="15" spans="2:8" x14ac:dyDescent="0.25">
      <c r="B15" s="2" t="s">
        <v>6</v>
      </c>
      <c r="C15" s="2" t="s">
        <v>7</v>
      </c>
      <c r="D15" s="2" t="s">
        <v>8</v>
      </c>
      <c r="E15" s="2" t="s">
        <v>9</v>
      </c>
      <c r="F15" s="2" t="s">
        <v>10</v>
      </c>
      <c r="G15" s="2" t="s">
        <v>11</v>
      </c>
      <c r="H15" s="2" t="s">
        <v>13</v>
      </c>
    </row>
    <row r="16" spans="2:8" x14ac:dyDescent="0.25">
      <c r="B16" s="3">
        <f>B3</f>
        <v>-1</v>
      </c>
      <c r="C16" s="4">
        <f>C3</f>
        <v>0.39</v>
      </c>
      <c r="D16" s="3">
        <f>B16*C16</f>
        <v>-0.39</v>
      </c>
      <c r="E16" s="4">
        <f>B16*B16</f>
        <v>1</v>
      </c>
      <c r="F16" s="3">
        <f>E16*C16</f>
        <v>0.39</v>
      </c>
      <c r="G16" s="4">
        <f>POWER(B16,3)</f>
        <v>-1</v>
      </c>
      <c r="H16" s="3">
        <f>POWER(B16,4)</f>
        <v>1</v>
      </c>
    </row>
    <row r="17" spans="2:9" x14ac:dyDescent="0.25">
      <c r="B17" s="3">
        <f t="shared" ref="B17:C25" si="0">B4</f>
        <v>-0.72</v>
      </c>
      <c r="C17" s="4">
        <f t="shared" si="0"/>
        <v>0.64</v>
      </c>
      <c r="D17" s="3">
        <f t="shared" ref="D17:D25" si="1">B17*C17</f>
        <v>-0.46079999999999999</v>
      </c>
      <c r="E17" s="4">
        <f t="shared" ref="E17:E25" si="2">B17*B17</f>
        <v>0.51839999999999997</v>
      </c>
      <c r="F17" s="3">
        <f t="shared" ref="F17:F25" si="3">E17*C17</f>
        <v>0.33177600000000002</v>
      </c>
      <c r="G17" s="4">
        <f t="shared" ref="G17:G25" si="4">POWER(B17,3)</f>
        <v>-0.37324799999999997</v>
      </c>
      <c r="H17" s="3">
        <f t="shared" ref="H17:H25" si="5">POWER(B17,4)</f>
        <v>0.26873855999999996</v>
      </c>
    </row>
    <row r="18" spans="2:9" x14ac:dyDescent="0.25">
      <c r="B18" s="3">
        <f t="shared" si="0"/>
        <v>-0.31</v>
      </c>
      <c r="C18" s="4">
        <f t="shared" si="0"/>
        <v>0.9</v>
      </c>
      <c r="D18" s="3">
        <f t="shared" si="1"/>
        <v>-0.27900000000000003</v>
      </c>
      <c r="E18" s="4">
        <f t="shared" si="2"/>
        <v>9.6100000000000005E-2</v>
      </c>
      <c r="F18" s="3">
        <f t="shared" si="3"/>
        <v>8.6490000000000011E-2</v>
      </c>
      <c r="G18" s="4">
        <f t="shared" si="4"/>
        <v>-2.9791000000000002E-2</v>
      </c>
      <c r="H18" s="3">
        <f t="shared" si="5"/>
        <v>9.2352100000000006E-3</v>
      </c>
    </row>
    <row r="19" spans="2:9" x14ac:dyDescent="0.25">
      <c r="B19" s="3">
        <f t="shared" si="0"/>
        <v>0.04</v>
      </c>
      <c r="C19" s="4">
        <f t="shared" si="0"/>
        <v>1</v>
      </c>
      <c r="D19" s="3">
        <f t="shared" si="1"/>
        <v>0.04</v>
      </c>
      <c r="E19" s="4">
        <f t="shared" si="2"/>
        <v>1.6000000000000001E-3</v>
      </c>
      <c r="F19" s="3">
        <f t="shared" si="3"/>
        <v>1.6000000000000001E-3</v>
      </c>
      <c r="G19" s="4">
        <f t="shared" si="4"/>
        <v>6.4000000000000011E-5</v>
      </c>
      <c r="H19" s="3">
        <f t="shared" si="5"/>
        <v>2.5600000000000001E-6</v>
      </c>
    </row>
    <row r="20" spans="2:9" x14ac:dyDescent="0.25">
      <c r="B20" s="3">
        <f t="shared" si="0"/>
        <v>0.08</v>
      </c>
      <c r="C20" s="4">
        <f t="shared" si="0"/>
        <v>1</v>
      </c>
      <c r="D20" s="3">
        <f t="shared" si="1"/>
        <v>0.08</v>
      </c>
      <c r="E20" s="4">
        <f t="shared" si="2"/>
        <v>6.4000000000000003E-3</v>
      </c>
      <c r="F20" s="3">
        <f t="shared" si="3"/>
        <v>6.4000000000000003E-3</v>
      </c>
      <c r="G20" s="4">
        <f t="shared" si="4"/>
        <v>5.1200000000000009E-4</v>
      </c>
      <c r="H20" s="3">
        <f t="shared" si="5"/>
        <v>4.0960000000000001E-5</v>
      </c>
    </row>
    <row r="21" spans="2:9" x14ac:dyDescent="0.25">
      <c r="B21" s="3">
        <f t="shared" si="0"/>
        <v>0.66</v>
      </c>
      <c r="C21" s="4">
        <f t="shared" si="0"/>
        <v>0.65</v>
      </c>
      <c r="D21" s="3">
        <f t="shared" si="1"/>
        <v>0.42900000000000005</v>
      </c>
      <c r="E21" s="4">
        <f t="shared" si="2"/>
        <v>0.43560000000000004</v>
      </c>
      <c r="F21" s="3">
        <f t="shared" si="3"/>
        <v>0.28314000000000006</v>
      </c>
      <c r="G21" s="4">
        <f t="shared" si="4"/>
        <v>0.28749600000000003</v>
      </c>
      <c r="H21" s="3">
        <f t="shared" si="5"/>
        <v>0.18974736000000003</v>
      </c>
    </row>
    <row r="22" spans="2:9" x14ac:dyDescent="0.25">
      <c r="B22" s="3">
        <f t="shared" si="0"/>
        <v>1.1000000000000001</v>
      </c>
      <c r="C22" s="4">
        <f t="shared" si="0"/>
        <v>0.37</v>
      </c>
      <c r="D22" s="3">
        <f t="shared" si="1"/>
        <v>0.40700000000000003</v>
      </c>
      <c r="E22" s="4">
        <f t="shared" si="2"/>
        <v>1.2100000000000002</v>
      </c>
      <c r="F22" s="3">
        <f t="shared" si="3"/>
        <v>0.44770000000000004</v>
      </c>
      <c r="G22" s="4">
        <f t="shared" si="4"/>
        <v>1.3310000000000004</v>
      </c>
      <c r="H22" s="3">
        <f t="shared" si="5"/>
        <v>1.4641000000000004</v>
      </c>
    </row>
    <row r="23" spans="2:9" x14ac:dyDescent="0.25">
      <c r="B23" s="3">
        <f t="shared" si="0"/>
        <v>0.89</v>
      </c>
      <c r="C23" s="4">
        <f t="shared" si="0"/>
        <v>0.17</v>
      </c>
      <c r="D23" s="3">
        <f t="shared" si="1"/>
        <v>0.15130000000000002</v>
      </c>
      <c r="E23" s="4">
        <f t="shared" si="2"/>
        <v>0.79210000000000003</v>
      </c>
      <c r="F23" s="3">
        <f t="shared" si="3"/>
        <v>0.13465700000000003</v>
      </c>
      <c r="G23" s="4">
        <f t="shared" si="4"/>
        <v>0.70496900000000007</v>
      </c>
      <c r="H23" s="3">
        <f t="shared" si="5"/>
        <v>0.6274224100000001</v>
      </c>
    </row>
    <row r="24" spans="2:9" x14ac:dyDescent="0.25">
      <c r="B24" s="3">
        <f t="shared" si="0"/>
        <v>2</v>
      </c>
      <c r="C24" s="4">
        <f t="shared" si="0"/>
        <v>7.0000000000000007E-2</v>
      </c>
      <c r="D24" s="3">
        <f t="shared" si="1"/>
        <v>0.14000000000000001</v>
      </c>
      <c r="E24" s="4">
        <f t="shared" si="2"/>
        <v>4</v>
      </c>
      <c r="F24" s="3">
        <f t="shared" si="3"/>
        <v>0.28000000000000003</v>
      </c>
      <c r="G24" s="4">
        <f t="shared" si="4"/>
        <v>8</v>
      </c>
      <c r="H24" s="3">
        <f t="shared" si="5"/>
        <v>16</v>
      </c>
    </row>
    <row r="25" spans="2:9" ht="15.75" thickBot="1" x14ac:dyDescent="0.3">
      <c r="B25" s="5">
        <f t="shared" si="0"/>
        <v>1.8</v>
      </c>
      <c r="C25" s="6">
        <f t="shared" si="0"/>
        <v>0.02</v>
      </c>
      <c r="D25" s="5">
        <f t="shared" si="1"/>
        <v>3.6000000000000004E-2</v>
      </c>
      <c r="E25" s="6">
        <f t="shared" si="2"/>
        <v>3.24</v>
      </c>
      <c r="F25" s="5">
        <f t="shared" si="3"/>
        <v>6.480000000000001E-2</v>
      </c>
      <c r="G25" s="6">
        <f t="shared" si="4"/>
        <v>5.8320000000000007</v>
      </c>
      <c r="H25" s="5">
        <f t="shared" si="5"/>
        <v>10.497600000000002</v>
      </c>
    </row>
    <row r="26" spans="2:9" ht="15.75" thickBot="1" x14ac:dyDescent="0.3">
      <c r="B26" s="7">
        <f>SUM(B16:B25)</f>
        <v>4.5400000000000009</v>
      </c>
      <c r="C26" s="8">
        <f t="shared" ref="C26:H26" si="6">SUM(C16:C25)</f>
        <v>5.21</v>
      </c>
      <c r="D26" s="8">
        <f t="shared" si="6"/>
        <v>0.1535000000000003</v>
      </c>
      <c r="E26" s="8">
        <f t="shared" si="6"/>
        <v>11.3002</v>
      </c>
      <c r="F26" s="8">
        <f t="shared" si="6"/>
        <v>2.0265630000000003</v>
      </c>
      <c r="G26" s="8">
        <f t="shared" si="6"/>
        <v>14.753002000000002</v>
      </c>
      <c r="H26" s="9">
        <f t="shared" si="6"/>
        <v>30.056887060000005</v>
      </c>
      <c r="I26" t="s">
        <v>12</v>
      </c>
    </row>
    <row r="28" spans="2:9" x14ac:dyDescent="0.25">
      <c r="B28" s="10" t="s">
        <v>14</v>
      </c>
      <c r="C28" s="11">
        <f>COUNT(B16:B25)</f>
        <v>10</v>
      </c>
    </row>
    <row r="29" spans="2:9" x14ac:dyDescent="0.25">
      <c r="B29" s="10" t="s">
        <v>15</v>
      </c>
      <c r="C29" s="11">
        <f>CORREL(B16:B25,C16:C25)</f>
        <v>-0.65062496543164527</v>
      </c>
    </row>
    <row r="30" spans="2:9" x14ac:dyDescent="0.25">
      <c r="B30" s="10" t="s">
        <v>16</v>
      </c>
      <c r="C30" s="11">
        <f>ABS(C29)*SQRT((C28-2)/(1-C29*C29))</f>
        <v>2.4232910507037864</v>
      </c>
      <c r="D30" s="10" t="s">
        <v>17</v>
      </c>
      <c r="E30" s="11">
        <f>_xlfn.T.INV.2T(0.05,C28-2)</f>
        <v>2.3060041352041671</v>
      </c>
    </row>
    <row r="33" spans="2:8" x14ac:dyDescent="0.25">
      <c r="B33" s="12">
        <f>H26</f>
        <v>30.056887060000005</v>
      </c>
      <c r="C33" s="12">
        <f>G26</f>
        <v>14.753002000000002</v>
      </c>
      <c r="D33" s="12">
        <f>E26</f>
        <v>11.3002</v>
      </c>
      <c r="E33" s="13">
        <f>F26</f>
        <v>2.0265630000000003</v>
      </c>
    </row>
    <row r="34" spans="2:8" x14ac:dyDescent="0.25">
      <c r="B34" s="12">
        <f>G26</f>
        <v>14.753002000000002</v>
      </c>
      <c r="C34" s="12">
        <f>E26</f>
        <v>11.3002</v>
      </c>
      <c r="D34" s="12">
        <f>B26</f>
        <v>4.5400000000000009</v>
      </c>
      <c r="E34" s="13">
        <f>D26</f>
        <v>0.1535000000000003</v>
      </c>
    </row>
    <row r="35" spans="2:8" x14ac:dyDescent="0.25">
      <c r="B35" s="12">
        <f>E26</f>
        <v>11.3002</v>
      </c>
      <c r="C35" s="12">
        <f>B26</f>
        <v>4.5400000000000009</v>
      </c>
      <c r="D35" s="12">
        <f>C28</f>
        <v>10</v>
      </c>
      <c r="E35" s="13">
        <f>C26</f>
        <v>5.21</v>
      </c>
    </row>
    <row r="38" spans="2:8" x14ac:dyDescent="0.25">
      <c r="B38" s="12" cm="1">
        <f t="array" ref="B38:D40">MINVERSE(B33:D35)</f>
        <v>0.1376439779436173</v>
      </c>
      <c r="C38" s="12">
        <v>-0.14335994304284852</v>
      </c>
      <c r="D38" s="12">
        <v>-9.0455033814393168E-2</v>
      </c>
      <c r="F38" s="13" cm="1">
        <f t="array" ref="F38:F40">MMULT(_xlfn.ANCHORARRAY(B38),E33:E35)</f>
        <v>-0.21433228455671477</v>
      </c>
      <c r="H38" s="3" t="s">
        <v>7</v>
      </c>
    </row>
    <row r="39" spans="2:8" x14ac:dyDescent="0.25">
      <c r="B39" s="12">
        <v>-0.14335994304284852</v>
      </c>
      <c r="C39" s="12">
        <v>0.25754962956646804</v>
      </c>
      <c r="D39" s="12">
        <v>4.5072071014103189E-2</v>
      </c>
      <c r="F39" s="13">
        <v>-1.6168598130813699E-2</v>
      </c>
      <c r="H39" s="4">
        <f>$F$38*E16+$F$39*B16+$F$40</f>
        <v>0.57237662532026712</v>
      </c>
    </row>
    <row r="40" spans="2:8" x14ac:dyDescent="0.25">
      <c r="B40" s="12">
        <v>-9.045503381439314E-2</v>
      </c>
      <c r="C40" s="12">
        <v>4.5072071014103147E-2</v>
      </c>
      <c r="D40" s="12">
        <v>0.18175327707053771</v>
      </c>
      <c r="F40" s="13">
        <v>0.77054031174616822</v>
      </c>
      <c r="H40" s="4">
        <f t="shared" ref="H40:H48" si="7">$F$38*E17+$F$39*B17+$F$40</f>
        <v>0.67107184608615311</v>
      </c>
    </row>
    <row r="41" spans="2:8" x14ac:dyDescent="0.25">
      <c r="H41" s="4">
        <f t="shared" si="7"/>
        <v>0.7549552446208202</v>
      </c>
    </row>
    <row r="42" spans="2:8" x14ac:dyDescent="0.25">
      <c r="H42" s="4">
        <f t="shared" si="7"/>
        <v>0.7695506361656449</v>
      </c>
    </row>
    <row r="43" spans="2:8" x14ac:dyDescent="0.25">
      <c r="B43" s="14" t="s">
        <v>18</v>
      </c>
      <c r="C43" cm="1">
        <f t="array" ref="C43">SQRT((SUM((C16:C25-H39:H48)^2))/C28)</f>
        <v>0.19688187656654749</v>
      </c>
      <c r="H43" s="4">
        <f t="shared" si="7"/>
        <v>0.76787509727454017</v>
      </c>
    </row>
    <row r="44" spans="2:8" x14ac:dyDescent="0.25">
      <c r="H44" s="4">
        <f t="shared" si="7"/>
        <v>0.66650589382692615</v>
      </c>
    </row>
    <row r="45" spans="2:8" x14ac:dyDescent="0.25">
      <c r="H45" s="4">
        <f t="shared" si="7"/>
        <v>0.49341278948864825</v>
      </c>
    </row>
    <row r="46" spans="2:8" x14ac:dyDescent="0.25">
      <c r="H46" s="4">
        <f t="shared" si="7"/>
        <v>0.5863776568123702</v>
      </c>
    </row>
    <row r="47" spans="2:8" x14ac:dyDescent="0.25">
      <c r="H47" s="4">
        <f t="shared" si="7"/>
        <v>-0.11912602274231832</v>
      </c>
    </row>
    <row r="48" spans="2:8" x14ac:dyDescent="0.25">
      <c r="H48" s="4">
        <f t="shared" si="7"/>
        <v>4.7000233146947679E-2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Зубенко</dc:creator>
  <cp:lastModifiedBy>Михаил Зубенко</cp:lastModifiedBy>
  <dcterms:created xsi:type="dcterms:W3CDTF">2025-04-21T13:12:43Z</dcterms:created>
  <dcterms:modified xsi:type="dcterms:W3CDTF">2025-05-05T14:49:12Z</dcterms:modified>
</cp:coreProperties>
</file>